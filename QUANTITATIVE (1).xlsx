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escobruniprenestino/Desktop/"/>
    </mc:Choice>
  </mc:AlternateContent>
  <xr:revisionPtr revIDLastSave="0" documentId="13_ncr:1_{F02A66F9-62E5-1343-A660-3618CC2B72A8}" xr6:coauthVersionLast="47" xr6:coauthVersionMax="47" xr10:uidLastSave="{00000000-0000-0000-0000-000000000000}"/>
  <bookViews>
    <workbookView xWindow="0" yWindow="500" windowWidth="28800" windowHeight="16400" xr2:uid="{58EE02FE-59AB-984C-825A-B6A3BAF36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5" i="1" l="1"/>
  <c r="AD49" i="1"/>
  <c r="AF50" i="1"/>
  <c r="AF48" i="1"/>
  <c r="AH51" i="1"/>
  <c r="AH49" i="1"/>
  <c r="AH47" i="1"/>
  <c r="AJ52" i="1"/>
  <c r="AJ50" i="1"/>
  <c r="AJ48" i="1"/>
  <c r="AJ46" i="1"/>
  <c r="S49" i="1"/>
  <c r="U50" i="1"/>
  <c r="U48" i="1"/>
  <c r="W49" i="1"/>
  <c r="W51" i="1"/>
  <c r="W47" i="1"/>
  <c r="Y48" i="1"/>
  <c r="Y50" i="1"/>
  <c r="Y52" i="1"/>
  <c r="Y46" i="1"/>
  <c r="AA53" i="1"/>
  <c r="AA45" i="1"/>
  <c r="J49" i="1"/>
  <c r="J51" i="1"/>
  <c r="L52" i="1"/>
  <c r="L50" i="1"/>
  <c r="L48" i="1"/>
  <c r="N47" i="1"/>
  <c r="N49" i="1"/>
  <c r="N51" i="1"/>
  <c r="N53" i="1"/>
  <c r="P54" i="1"/>
  <c r="P52" i="1"/>
  <c r="P50" i="1"/>
  <c r="P48" i="1"/>
  <c r="P46" i="1"/>
  <c r="B48" i="1"/>
  <c r="B47" i="1"/>
  <c r="B46" i="1"/>
  <c r="B45" i="1"/>
  <c r="B31" i="1"/>
  <c r="B44" i="1"/>
  <c r="B30" i="1"/>
  <c r="B29" i="1"/>
  <c r="J29" i="1"/>
  <c r="L28" i="1" s="1"/>
  <c r="B33" i="1"/>
  <c r="J32" i="1" s="1"/>
  <c r="L33" i="1" s="1"/>
  <c r="J31" i="1"/>
  <c r="L32" i="1" s="1"/>
  <c r="F386" i="1"/>
  <c r="H387" i="1"/>
  <c r="H385" i="1"/>
  <c r="J388" i="1"/>
  <c r="J386" i="1"/>
  <c r="J384" i="1"/>
  <c r="L389" i="1"/>
  <c r="L387" i="1"/>
  <c r="L385" i="1"/>
  <c r="L383" i="1"/>
  <c r="N390" i="1"/>
  <c r="N388" i="1"/>
  <c r="N386" i="1"/>
  <c r="N384" i="1"/>
  <c r="N382" i="1"/>
  <c r="P391" i="1"/>
  <c r="P389" i="1"/>
  <c r="P387" i="1"/>
  <c r="P385" i="1"/>
  <c r="P383" i="1"/>
  <c r="P381" i="1"/>
  <c r="R392" i="1"/>
  <c r="R390" i="1"/>
  <c r="R388" i="1"/>
  <c r="R386" i="1"/>
  <c r="R384" i="1"/>
  <c r="R382" i="1"/>
  <c r="R380" i="1"/>
  <c r="T393" i="1"/>
  <c r="T391" i="1"/>
  <c r="T389" i="1"/>
  <c r="T387" i="1"/>
  <c r="T385" i="1"/>
  <c r="T383" i="1"/>
  <c r="T381" i="1"/>
  <c r="T379" i="1"/>
  <c r="V394" i="1"/>
  <c r="V392" i="1"/>
  <c r="V390" i="1"/>
  <c r="V388" i="1"/>
  <c r="V386" i="1"/>
  <c r="V384" i="1"/>
  <c r="V382" i="1"/>
  <c r="V380" i="1"/>
  <c r="V378" i="1"/>
  <c r="X395" i="1"/>
  <c r="X393" i="1"/>
  <c r="X391" i="1"/>
  <c r="X389" i="1"/>
  <c r="X387" i="1"/>
  <c r="X385" i="1"/>
  <c r="X383" i="1"/>
  <c r="X381" i="1"/>
  <c r="X379" i="1"/>
  <c r="X377" i="1"/>
  <c r="Z396" i="1"/>
  <c r="Z394" i="1"/>
  <c r="Z392" i="1"/>
  <c r="Z390" i="1"/>
  <c r="Z388" i="1"/>
  <c r="Z386" i="1"/>
  <c r="Z384" i="1"/>
  <c r="Z382" i="1"/>
  <c r="Z380" i="1"/>
  <c r="Z378" i="1"/>
  <c r="Z376" i="1"/>
  <c r="AB397" i="1"/>
  <c r="AB395" i="1"/>
  <c r="AB393" i="1"/>
  <c r="AB391" i="1"/>
  <c r="AB389" i="1"/>
  <c r="AB387" i="1"/>
  <c r="AB385" i="1"/>
  <c r="AB383" i="1"/>
  <c r="AB381" i="1"/>
  <c r="AB379" i="1"/>
  <c r="AB377" i="1"/>
  <c r="AB375" i="1"/>
  <c r="AD398" i="1"/>
  <c r="AD396" i="1"/>
  <c r="AD394" i="1"/>
  <c r="AD392" i="1"/>
  <c r="AD390" i="1"/>
  <c r="AD388" i="1"/>
  <c r="AD386" i="1"/>
  <c r="AD384" i="1"/>
  <c r="AD382" i="1"/>
  <c r="AD380" i="1"/>
  <c r="AD378" i="1"/>
  <c r="AD376" i="1"/>
  <c r="AD374" i="1"/>
  <c r="AF399" i="1"/>
  <c r="AF397" i="1"/>
  <c r="AF395" i="1"/>
  <c r="AF393" i="1"/>
  <c r="AF391" i="1"/>
  <c r="AF389" i="1"/>
  <c r="AF387" i="1"/>
  <c r="AF385" i="1"/>
  <c r="AF383" i="1"/>
  <c r="AF381" i="1"/>
  <c r="AF379" i="1"/>
  <c r="AF377" i="1"/>
  <c r="AF375" i="1"/>
  <c r="AF373" i="1"/>
  <c r="AH400" i="1"/>
  <c r="AH398" i="1"/>
  <c r="AH396" i="1"/>
  <c r="AH394" i="1"/>
  <c r="AH392" i="1"/>
  <c r="AH390" i="1"/>
  <c r="AH388" i="1"/>
  <c r="AH386" i="1"/>
  <c r="AH384" i="1"/>
  <c r="AH382" i="1"/>
  <c r="AH380" i="1"/>
  <c r="AH378" i="1"/>
  <c r="AH376" i="1"/>
  <c r="AH374" i="1"/>
  <c r="AH372" i="1"/>
  <c r="AJ401" i="1"/>
  <c r="AJ399" i="1"/>
  <c r="AJ397" i="1"/>
  <c r="AJ395" i="1"/>
  <c r="AJ393" i="1"/>
  <c r="AJ391" i="1"/>
  <c r="AJ389" i="1"/>
  <c r="AJ387" i="1"/>
  <c r="AJ385" i="1"/>
  <c r="AJ383" i="1"/>
  <c r="AJ381" i="1"/>
  <c r="AJ379" i="1"/>
  <c r="AJ377" i="1"/>
  <c r="AJ375" i="1"/>
  <c r="AJ373" i="1"/>
  <c r="AJ371" i="1"/>
  <c r="AL402" i="1"/>
  <c r="AL400" i="1"/>
  <c r="AL398" i="1"/>
  <c r="AL396" i="1"/>
  <c r="AL394" i="1"/>
  <c r="AL392" i="1"/>
  <c r="AL390" i="1"/>
  <c r="AL388" i="1"/>
  <c r="AL386" i="1"/>
  <c r="AL384" i="1"/>
  <c r="AL382" i="1"/>
  <c r="AL380" i="1"/>
  <c r="AL378" i="1"/>
  <c r="AL376" i="1"/>
  <c r="AL374" i="1"/>
  <c r="AL372" i="1"/>
  <c r="AL370" i="1"/>
  <c r="AN403" i="1"/>
  <c r="AN401" i="1"/>
  <c r="AN399" i="1"/>
  <c r="AN397" i="1"/>
  <c r="AN395" i="1"/>
  <c r="AN393" i="1"/>
  <c r="AN391" i="1"/>
  <c r="AN389" i="1"/>
  <c r="AN387" i="1"/>
  <c r="AN385" i="1"/>
  <c r="AN383" i="1"/>
  <c r="AN381" i="1"/>
  <c r="AN379" i="1"/>
  <c r="AN377" i="1"/>
  <c r="AN375" i="1"/>
  <c r="AN373" i="1"/>
  <c r="AN371" i="1"/>
  <c r="AN369" i="1"/>
  <c r="AP404" i="1"/>
  <c r="AP402" i="1"/>
  <c r="AP400" i="1"/>
  <c r="AP398" i="1"/>
  <c r="AP396" i="1"/>
  <c r="AP394" i="1"/>
  <c r="AP392" i="1"/>
  <c r="AP390" i="1"/>
  <c r="AP388" i="1"/>
  <c r="AP386" i="1"/>
  <c r="AP384" i="1"/>
  <c r="AP382" i="1"/>
  <c r="AP380" i="1"/>
  <c r="AP378" i="1"/>
  <c r="AP376" i="1"/>
  <c r="AP374" i="1"/>
  <c r="AP372" i="1"/>
  <c r="AP370" i="1"/>
  <c r="AP368" i="1"/>
  <c r="AR405" i="1"/>
  <c r="AR403" i="1"/>
  <c r="AR401" i="1"/>
  <c r="AR399" i="1"/>
  <c r="AR397" i="1"/>
  <c r="AR395" i="1"/>
  <c r="AR393" i="1"/>
  <c r="AR391" i="1"/>
  <c r="AR389" i="1"/>
  <c r="AR387" i="1"/>
  <c r="AR385" i="1"/>
  <c r="AR383" i="1"/>
  <c r="AR381" i="1"/>
  <c r="AR379" i="1"/>
  <c r="AR377" i="1"/>
  <c r="AR375" i="1"/>
  <c r="AR373" i="1"/>
  <c r="AR371" i="1"/>
  <c r="AR369" i="1"/>
  <c r="AR367" i="1"/>
  <c r="AT406" i="1"/>
  <c r="AT404" i="1"/>
  <c r="AT402" i="1"/>
  <c r="AT400" i="1"/>
  <c r="AT398" i="1"/>
  <c r="AT396" i="1"/>
  <c r="AT394" i="1"/>
  <c r="AT392" i="1"/>
  <c r="AT390" i="1"/>
  <c r="AT388" i="1"/>
  <c r="AT386" i="1"/>
  <c r="AT384" i="1"/>
  <c r="AT382" i="1"/>
  <c r="AT380" i="1"/>
  <c r="AT378" i="1"/>
  <c r="AT376" i="1"/>
  <c r="AT374" i="1"/>
  <c r="AT372" i="1"/>
  <c r="AT370" i="1"/>
  <c r="AT368" i="1"/>
  <c r="AT366" i="1"/>
  <c r="AV407" i="1"/>
  <c r="AV405" i="1"/>
  <c r="AV403" i="1"/>
  <c r="AV401" i="1"/>
  <c r="AV399" i="1"/>
  <c r="AV397" i="1"/>
  <c r="AV395" i="1"/>
  <c r="AV393" i="1"/>
  <c r="AV391" i="1"/>
  <c r="AV389" i="1"/>
  <c r="AV387" i="1"/>
  <c r="AV385" i="1"/>
  <c r="AV383" i="1"/>
  <c r="AV381" i="1"/>
  <c r="AV379" i="1"/>
  <c r="AV377" i="1"/>
  <c r="AV375" i="1"/>
  <c r="AV373" i="1"/>
  <c r="AV371" i="1"/>
  <c r="AV369" i="1"/>
  <c r="AV367" i="1"/>
  <c r="AV365" i="1"/>
  <c r="AX408" i="1"/>
  <c r="AX406" i="1"/>
  <c r="AX404" i="1"/>
  <c r="AX402" i="1"/>
  <c r="AX400" i="1"/>
  <c r="AX398" i="1"/>
  <c r="AX396" i="1"/>
  <c r="AX394" i="1"/>
  <c r="AX392" i="1"/>
  <c r="AX390" i="1"/>
  <c r="AX388" i="1"/>
  <c r="AX386" i="1"/>
  <c r="AX384" i="1"/>
  <c r="AX382" i="1"/>
  <c r="AX380" i="1"/>
  <c r="AX378" i="1"/>
  <c r="AX376" i="1"/>
  <c r="AX374" i="1"/>
  <c r="AX372" i="1"/>
  <c r="AX370" i="1"/>
  <c r="AX368" i="1"/>
  <c r="AX366" i="1"/>
  <c r="AX364" i="1"/>
  <c r="AZ409" i="1"/>
  <c r="AZ407" i="1"/>
  <c r="AZ405" i="1"/>
  <c r="AZ403" i="1"/>
  <c r="AZ401" i="1"/>
  <c r="AZ399" i="1"/>
  <c r="AZ397" i="1"/>
  <c r="AZ395" i="1"/>
  <c r="AZ393" i="1"/>
  <c r="AZ391" i="1"/>
  <c r="AZ389" i="1"/>
  <c r="AZ387" i="1"/>
  <c r="AZ385" i="1"/>
  <c r="AZ383" i="1"/>
  <c r="AZ381" i="1"/>
  <c r="AZ379" i="1"/>
  <c r="AZ377" i="1"/>
  <c r="AZ375" i="1"/>
  <c r="AZ373" i="1"/>
  <c r="AZ371" i="1"/>
  <c r="AZ369" i="1"/>
  <c r="AZ367" i="1"/>
  <c r="AZ365" i="1"/>
  <c r="AZ363" i="1"/>
  <c r="BB410" i="1"/>
  <c r="BB408" i="1"/>
  <c r="BB406" i="1"/>
  <c r="BB404" i="1"/>
  <c r="BB402" i="1"/>
  <c r="BB400" i="1"/>
  <c r="BB398" i="1"/>
  <c r="BB396" i="1"/>
  <c r="BB394" i="1"/>
  <c r="BB392" i="1"/>
  <c r="BB390" i="1"/>
  <c r="BB388" i="1"/>
  <c r="BB386" i="1"/>
  <c r="BB384" i="1"/>
  <c r="BB382" i="1"/>
  <c r="BB380" i="1"/>
  <c r="BB378" i="1"/>
  <c r="BB376" i="1"/>
  <c r="BB374" i="1"/>
  <c r="BB372" i="1"/>
  <c r="BB370" i="1"/>
  <c r="BB368" i="1"/>
  <c r="BB366" i="1"/>
  <c r="BB364" i="1"/>
  <c r="BB362" i="1"/>
  <c r="BD411" i="1"/>
  <c r="BD409" i="1"/>
  <c r="BD407" i="1"/>
  <c r="BD405" i="1"/>
  <c r="BD403" i="1"/>
  <c r="BD401" i="1"/>
  <c r="BD399" i="1"/>
  <c r="BD397" i="1"/>
  <c r="BD395" i="1"/>
  <c r="BD393" i="1"/>
  <c r="BD391" i="1"/>
  <c r="BD389" i="1"/>
  <c r="BD387" i="1"/>
  <c r="BD385" i="1"/>
  <c r="BD383" i="1"/>
  <c r="BD381" i="1"/>
  <c r="BD379" i="1"/>
  <c r="BD377" i="1"/>
  <c r="BD375" i="1"/>
  <c r="BD373" i="1"/>
  <c r="BD371" i="1"/>
  <c r="BD369" i="1"/>
  <c r="BD367" i="1"/>
  <c r="BD365" i="1"/>
  <c r="BD363" i="1"/>
  <c r="BD361" i="1"/>
  <c r="BF412" i="1"/>
  <c r="BF410" i="1"/>
  <c r="BF408" i="1"/>
  <c r="BF406" i="1"/>
  <c r="BF404" i="1"/>
  <c r="BF402" i="1"/>
  <c r="BF400" i="1"/>
  <c r="BF398" i="1"/>
  <c r="BF396" i="1"/>
  <c r="BF394" i="1"/>
  <c r="BF392" i="1"/>
  <c r="BF390" i="1"/>
  <c r="BF388" i="1"/>
  <c r="BF386" i="1"/>
  <c r="BF384" i="1"/>
  <c r="BF382" i="1"/>
  <c r="BF380" i="1"/>
  <c r="BF378" i="1"/>
  <c r="BF376" i="1"/>
  <c r="BF374" i="1"/>
  <c r="BF372" i="1"/>
  <c r="BF370" i="1"/>
  <c r="BF368" i="1"/>
  <c r="BF366" i="1"/>
  <c r="BF364" i="1"/>
  <c r="BF362" i="1"/>
  <c r="BF360" i="1"/>
  <c r="BH413" i="1"/>
  <c r="BH411" i="1"/>
  <c r="BH409" i="1"/>
  <c r="BH407" i="1"/>
  <c r="BH405" i="1"/>
  <c r="BH403" i="1"/>
  <c r="BH401" i="1"/>
  <c r="BH399" i="1"/>
  <c r="BH397" i="1"/>
  <c r="BH395" i="1"/>
  <c r="BH393" i="1"/>
  <c r="BH391" i="1"/>
  <c r="BH389" i="1"/>
  <c r="BH387" i="1"/>
  <c r="BH385" i="1"/>
  <c r="BH383" i="1"/>
  <c r="BH381" i="1"/>
  <c r="BH379" i="1"/>
  <c r="BH377" i="1"/>
  <c r="BH375" i="1"/>
  <c r="BH373" i="1"/>
  <c r="BH371" i="1"/>
  <c r="BH369" i="1"/>
  <c r="BH367" i="1"/>
  <c r="BH365" i="1"/>
  <c r="BH363" i="1"/>
  <c r="BH361" i="1"/>
  <c r="BH359" i="1"/>
  <c r="BJ414" i="1"/>
  <c r="BJ412" i="1"/>
  <c r="BJ410" i="1"/>
  <c r="BJ408" i="1"/>
  <c r="BJ406" i="1"/>
  <c r="BJ404" i="1"/>
  <c r="BJ402" i="1"/>
  <c r="BJ400" i="1"/>
  <c r="BJ398" i="1"/>
  <c r="BJ396" i="1"/>
  <c r="BJ394" i="1"/>
  <c r="BJ392" i="1"/>
  <c r="BJ390" i="1"/>
  <c r="BJ388" i="1"/>
  <c r="BJ386" i="1"/>
  <c r="BJ384" i="1"/>
  <c r="BJ382" i="1"/>
  <c r="BJ380" i="1"/>
  <c r="BJ378" i="1"/>
  <c r="BJ376" i="1"/>
  <c r="BJ374" i="1"/>
  <c r="BJ372" i="1"/>
  <c r="BJ370" i="1"/>
  <c r="BJ368" i="1"/>
  <c r="BJ366" i="1"/>
  <c r="BJ364" i="1"/>
  <c r="BJ362" i="1"/>
  <c r="BJ360" i="1"/>
  <c r="BJ358" i="1"/>
  <c r="BL415" i="1"/>
  <c r="BL413" i="1"/>
  <c r="BL411" i="1"/>
  <c r="BL409" i="1"/>
  <c r="BL407" i="1"/>
  <c r="BL405" i="1"/>
  <c r="BL403" i="1"/>
  <c r="BL401" i="1"/>
  <c r="BL399" i="1"/>
  <c r="BL397" i="1"/>
  <c r="BL395" i="1"/>
  <c r="BL393" i="1"/>
  <c r="BL391" i="1"/>
  <c r="BL389" i="1"/>
  <c r="BL387" i="1"/>
  <c r="BL385" i="1"/>
  <c r="BL383" i="1"/>
  <c r="BL381" i="1"/>
  <c r="BL379" i="1"/>
  <c r="BL377" i="1"/>
  <c r="BL375" i="1"/>
  <c r="BL373" i="1"/>
  <c r="BL371" i="1"/>
  <c r="BL369" i="1"/>
  <c r="BL367" i="1"/>
  <c r="BL365" i="1"/>
  <c r="BL363" i="1"/>
  <c r="BL361" i="1"/>
  <c r="BL359" i="1"/>
  <c r="BL357" i="1"/>
  <c r="BN416" i="1"/>
  <c r="BN414" i="1"/>
  <c r="BN412" i="1"/>
  <c r="BN410" i="1"/>
  <c r="BN408" i="1"/>
  <c r="BN406" i="1"/>
  <c r="BN404" i="1"/>
  <c r="BN402" i="1"/>
  <c r="BN400" i="1"/>
  <c r="BN398" i="1"/>
  <c r="BN396" i="1"/>
  <c r="BN394" i="1"/>
  <c r="BN392" i="1"/>
  <c r="BN390" i="1"/>
  <c r="BN388" i="1"/>
  <c r="BN386" i="1"/>
  <c r="BN384" i="1"/>
  <c r="BN382" i="1"/>
  <c r="BN380" i="1"/>
  <c r="BN378" i="1"/>
  <c r="BN376" i="1"/>
  <c r="BN374" i="1"/>
  <c r="BN372" i="1"/>
  <c r="BN370" i="1"/>
  <c r="BN368" i="1"/>
  <c r="BN366" i="1"/>
  <c r="BN364" i="1"/>
  <c r="BN362" i="1"/>
  <c r="BN360" i="1"/>
  <c r="BN358" i="1"/>
  <c r="BN356" i="1"/>
  <c r="BP417" i="1"/>
  <c r="BP415" i="1"/>
  <c r="BP413" i="1"/>
  <c r="BP411" i="1"/>
  <c r="BP409" i="1"/>
  <c r="BP407" i="1"/>
  <c r="BP405" i="1"/>
  <c r="BP403" i="1"/>
  <c r="BP401" i="1"/>
  <c r="BP399" i="1"/>
  <c r="BP397" i="1"/>
  <c r="BP395" i="1"/>
  <c r="BP393" i="1"/>
  <c r="BP391" i="1"/>
  <c r="BP389" i="1"/>
  <c r="BP387" i="1"/>
  <c r="BP385" i="1"/>
  <c r="BP383" i="1"/>
  <c r="BP381" i="1"/>
  <c r="BP379" i="1"/>
  <c r="BP377" i="1"/>
  <c r="BP375" i="1"/>
  <c r="BP373" i="1"/>
  <c r="BP371" i="1"/>
  <c r="BP369" i="1"/>
  <c r="BP367" i="1"/>
  <c r="BP365" i="1"/>
  <c r="BP363" i="1"/>
  <c r="BP361" i="1"/>
  <c r="BP359" i="1"/>
  <c r="BP357" i="1"/>
  <c r="BP355" i="1"/>
  <c r="BR418" i="1"/>
  <c r="BR354" i="1"/>
  <c r="F315" i="1"/>
  <c r="H316" i="1"/>
  <c r="H314" i="1"/>
  <c r="J317" i="1"/>
  <c r="J315" i="1"/>
  <c r="J313" i="1"/>
  <c r="L318" i="1"/>
  <c r="L316" i="1"/>
  <c r="L314" i="1"/>
  <c r="L312" i="1"/>
  <c r="N319" i="1"/>
  <c r="N317" i="1"/>
  <c r="N315" i="1"/>
  <c r="N313" i="1"/>
  <c r="N311" i="1"/>
  <c r="P320" i="1"/>
  <c r="P318" i="1"/>
  <c r="P316" i="1"/>
  <c r="P314" i="1"/>
  <c r="P312" i="1"/>
  <c r="P310" i="1"/>
  <c r="R321" i="1"/>
  <c r="R319" i="1"/>
  <c r="R317" i="1"/>
  <c r="R315" i="1"/>
  <c r="R313" i="1"/>
  <c r="R311" i="1"/>
  <c r="R309" i="1"/>
  <c r="T322" i="1"/>
  <c r="T320" i="1"/>
  <c r="T318" i="1"/>
  <c r="T316" i="1"/>
  <c r="T314" i="1"/>
  <c r="T312" i="1"/>
  <c r="T310" i="1"/>
  <c r="T308" i="1"/>
  <c r="V323" i="1"/>
  <c r="V321" i="1"/>
  <c r="V319" i="1"/>
  <c r="V317" i="1"/>
  <c r="V315" i="1"/>
  <c r="V313" i="1"/>
  <c r="V311" i="1"/>
  <c r="V309" i="1"/>
  <c r="V307" i="1"/>
  <c r="X324" i="1"/>
  <c r="X322" i="1"/>
  <c r="X320" i="1"/>
  <c r="X318" i="1"/>
  <c r="X316" i="1"/>
  <c r="X314" i="1"/>
  <c r="X312" i="1"/>
  <c r="X310" i="1"/>
  <c r="X308" i="1"/>
  <c r="X306" i="1"/>
  <c r="Z325" i="1"/>
  <c r="Z323" i="1"/>
  <c r="Z321" i="1"/>
  <c r="Z319" i="1"/>
  <c r="Z317" i="1"/>
  <c r="Z315" i="1"/>
  <c r="Z313" i="1"/>
  <c r="Z311" i="1"/>
  <c r="Z309" i="1"/>
  <c r="Z307" i="1"/>
  <c r="Z305" i="1"/>
  <c r="AB326" i="1"/>
  <c r="AB324" i="1"/>
  <c r="AB322" i="1"/>
  <c r="AB320" i="1"/>
  <c r="AB318" i="1"/>
  <c r="AB316" i="1"/>
  <c r="AB314" i="1"/>
  <c r="AB312" i="1"/>
  <c r="AB310" i="1"/>
  <c r="AB308" i="1"/>
  <c r="AB306" i="1"/>
  <c r="AB304" i="1"/>
  <c r="AD327" i="1"/>
  <c r="AD325" i="1"/>
  <c r="AD323" i="1"/>
  <c r="AD321" i="1"/>
  <c r="AD319" i="1"/>
  <c r="AD317" i="1"/>
  <c r="AD315" i="1"/>
  <c r="AD313" i="1"/>
  <c r="AD311" i="1"/>
  <c r="AD309" i="1"/>
  <c r="AD307" i="1"/>
  <c r="AD305" i="1"/>
  <c r="AD303" i="1"/>
  <c r="AF328" i="1"/>
  <c r="AF326" i="1"/>
  <c r="AF324" i="1"/>
  <c r="AF322" i="1"/>
  <c r="AF320" i="1"/>
  <c r="AF318" i="1"/>
  <c r="AF316" i="1"/>
  <c r="AF314" i="1"/>
  <c r="AF312" i="1"/>
  <c r="AF310" i="1"/>
  <c r="AF308" i="1"/>
  <c r="AF306" i="1"/>
  <c r="AF304" i="1"/>
  <c r="AF302" i="1"/>
  <c r="AH329" i="1"/>
  <c r="AH327" i="1"/>
  <c r="AH325" i="1"/>
  <c r="AH323" i="1"/>
  <c r="AH321" i="1"/>
  <c r="AH319" i="1"/>
  <c r="AH317" i="1"/>
  <c r="AH315" i="1"/>
  <c r="AH313" i="1"/>
  <c r="AH311" i="1"/>
  <c r="AH309" i="1"/>
  <c r="AH307" i="1"/>
  <c r="AH305" i="1"/>
  <c r="AH303" i="1"/>
  <c r="AH301" i="1"/>
  <c r="AJ330" i="1"/>
  <c r="AJ328" i="1"/>
  <c r="AJ326" i="1"/>
  <c r="AJ324" i="1"/>
  <c r="AJ322" i="1"/>
  <c r="AJ320" i="1"/>
  <c r="AJ318" i="1"/>
  <c r="AJ316" i="1"/>
  <c r="AJ314" i="1"/>
  <c r="AJ312" i="1"/>
  <c r="AJ310" i="1"/>
  <c r="AJ308" i="1"/>
  <c r="AJ306" i="1"/>
  <c r="AJ304" i="1"/>
  <c r="AJ302" i="1"/>
  <c r="AJ300" i="1"/>
  <c r="AL331" i="1"/>
  <c r="AL329" i="1"/>
  <c r="AL327" i="1"/>
  <c r="AL325" i="1"/>
  <c r="AL323" i="1"/>
  <c r="AL321" i="1"/>
  <c r="AL319" i="1"/>
  <c r="AL317" i="1"/>
  <c r="AL315" i="1"/>
  <c r="AL313" i="1"/>
  <c r="AL311" i="1"/>
  <c r="AL309" i="1"/>
  <c r="AL307" i="1"/>
  <c r="AL305" i="1"/>
  <c r="AL303" i="1"/>
  <c r="AL301" i="1"/>
  <c r="AL299" i="1"/>
  <c r="AN332" i="1"/>
  <c r="AN330" i="1"/>
  <c r="AN328" i="1"/>
  <c r="AN326" i="1"/>
  <c r="AN324" i="1"/>
  <c r="AN322" i="1"/>
  <c r="AN320" i="1"/>
  <c r="AN318" i="1"/>
  <c r="AN316" i="1"/>
  <c r="AN314" i="1"/>
  <c r="AN312" i="1"/>
  <c r="AN310" i="1"/>
  <c r="AN308" i="1"/>
  <c r="AN306" i="1"/>
  <c r="AN304" i="1"/>
  <c r="AN302" i="1"/>
  <c r="AN300" i="1"/>
  <c r="AN298" i="1"/>
  <c r="AP333" i="1"/>
  <c r="AP331" i="1"/>
  <c r="AP329" i="1"/>
  <c r="AP327" i="1"/>
  <c r="AP325" i="1"/>
  <c r="AP323" i="1"/>
  <c r="AP321" i="1"/>
  <c r="AP319" i="1"/>
  <c r="AP317" i="1"/>
  <c r="AP315" i="1"/>
  <c r="AP313" i="1"/>
  <c r="AP311" i="1"/>
  <c r="AP309" i="1"/>
  <c r="AP307" i="1"/>
  <c r="AP305" i="1"/>
  <c r="AP303" i="1"/>
  <c r="AP301" i="1"/>
  <c r="AP299" i="1"/>
  <c r="AP297" i="1"/>
  <c r="AR334" i="1"/>
  <c r="AR332" i="1"/>
  <c r="AR330" i="1"/>
  <c r="AR328" i="1"/>
  <c r="AR326" i="1"/>
  <c r="AR324" i="1"/>
  <c r="AR322" i="1"/>
  <c r="AR320" i="1"/>
  <c r="AR318" i="1"/>
  <c r="AR316" i="1"/>
  <c r="AR314" i="1"/>
  <c r="AR312" i="1"/>
  <c r="AR310" i="1"/>
  <c r="AR308" i="1"/>
  <c r="AR306" i="1"/>
  <c r="AR304" i="1"/>
  <c r="AR302" i="1"/>
  <c r="AR300" i="1"/>
  <c r="AR298" i="1"/>
  <c r="AR296" i="1"/>
  <c r="AT335" i="1"/>
  <c r="AT333" i="1"/>
  <c r="AT331" i="1"/>
  <c r="AT329" i="1"/>
  <c r="AT327" i="1"/>
  <c r="AT325" i="1"/>
  <c r="AT323" i="1"/>
  <c r="AT321" i="1"/>
  <c r="AT319" i="1"/>
  <c r="AT317" i="1"/>
  <c r="AT315" i="1"/>
  <c r="AT313" i="1"/>
  <c r="AT311" i="1"/>
  <c r="AT309" i="1"/>
  <c r="AT307" i="1"/>
  <c r="AT305" i="1"/>
  <c r="AT303" i="1"/>
  <c r="AT301" i="1"/>
  <c r="AT299" i="1"/>
  <c r="AT297" i="1"/>
  <c r="AT295" i="1"/>
  <c r="AV336" i="1"/>
  <c r="AV334" i="1"/>
  <c r="AV332" i="1"/>
  <c r="AV330" i="1"/>
  <c r="AV328" i="1"/>
  <c r="AV326" i="1"/>
  <c r="AV324" i="1"/>
  <c r="AV322" i="1"/>
  <c r="AV320" i="1"/>
  <c r="AV318" i="1"/>
  <c r="AV316" i="1"/>
  <c r="AV314" i="1"/>
  <c r="AV312" i="1"/>
  <c r="AV310" i="1"/>
  <c r="AV308" i="1"/>
  <c r="AV306" i="1"/>
  <c r="AV304" i="1"/>
  <c r="AV302" i="1"/>
  <c r="AV300" i="1"/>
  <c r="AV298" i="1"/>
  <c r="AV296" i="1"/>
  <c r="AV294" i="1"/>
  <c r="AX337" i="1"/>
  <c r="AX335" i="1"/>
  <c r="AX333" i="1"/>
  <c r="AX331" i="1"/>
  <c r="AX329" i="1"/>
  <c r="AX327" i="1"/>
  <c r="AX325" i="1"/>
  <c r="AX323" i="1"/>
  <c r="AX321" i="1"/>
  <c r="AX319" i="1"/>
  <c r="AX317" i="1"/>
  <c r="AX315" i="1"/>
  <c r="AX313" i="1"/>
  <c r="AX311" i="1"/>
  <c r="AX309" i="1"/>
  <c r="AX307" i="1"/>
  <c r="AX305" i="1"/>
  <c r="AX303" i="1"/>
  <c r="AX301" i="1"/>
  <c r="AX299" i="1"/>
  <c r="AX297" i="1"/>
  <c r="AX295" i="1"/>
  <c r="AX293" i="1"/>
  <c r="AZ338" i="1"/>
  <c r="AZ336" i="1"/>
  <c r="AZ334" i="1"/>
  <c r="AZ332" i="1"/>
  <c r="AZ330" i="1"/>
  <c r="AZ328" i="1"/>
  <c r="AZ326" i="1"/>
  <c r="AZ324" i="1"/>
  <c r="AZ322" i="1"/>
  <c r="AZ320" i="1"/>
  <c r="AZ318" i="1"/>
  <c r="AZ316" i="1"/>
  <c r="AZ314" i="1"/>
  <c r="AZ312" i="1"/>
  <c r="AZ310" i="1"/>
  <c r="AZ308" i="1"/>
  <c r="AZ306" i="1"/>
  <c r="AZ304" i="1"/>
  <c r="AZ302" i="1"/>
  <c r="AZ300" i="1"/>
  <c r="AZ298" i="1"/>
  <c r="AZ296" i="1"/>
  <c r="AZ294" i="1"/>
  <c r="AZ292" i="1"/>
  <c r="BB339" i="1"/>
  <c r="BB337" i="1"/>
  <c r="BB335" i="1"/>
  <c r="BB333" i="1"/>
  <c r="BB331" i="1"/>
  <c r="BB329" i="1"/>
  <c r="BB327" i="1"/>
  <c r="BB325" i="1"/>
  <c r="BB323" i="1"/>
  <c r="BB321" i="1"/>
  <c r="BB319" i="1"/>
  <c r="BB317" i="1"/>
  <c r="BB315" i="1"/>
  <c r="BB313" i="1"/>
  <c r="BB311" i="1"/>
  <c r="BB309" i="1"/>
  <c r="BB307" i="1"/>
  <c r="BB305" i="1"/>
  <c r="BB303" i="1"/>
  <c r="BB301" i="1"/>
  <c r="BB299" i="1"/>
  <c r="BB297" i="1"/>
  <c r="BB295" i="1"/>
  <c r="BB293" i="1"/>
  <c r="BB291" i="1"/>
  <c r="BD340" i="1"/>
  <c r="BD338" i="1"/>
  <c r="BD336" i="1"/>
  <c r="BD334" i="1"/>
  <c r="BD332" i="1"/>
  <c r="BD330" i="1"/>
  <c r="BD328" i="1"/>
  <c r="BD326" i="1"/>
  <c r="BD324" i="1"/>
  <c r="BD322" i="1"/>
  <c r="BD320" i="1"/>
  <c r="BD318" i="1"/>
  <c r="BD316" i="1"/>
  <c r="BD314" i="1"/>
  <c r="BD312" i="1"/>
  <c r="BD310" i="1"/>
  <c r="BD308" i="1"/>
  <c r="BD306" i="1"/>
  <c r="BD304" i="1"/>
  <c r="BD302" i="1"/>
  <c r="BD300" i="1"/>
  <c r="BD298" i="1"/>
  <c r="BD296" i="1"/>
  <c r="BD294" i="1"/>
  <c r="BD292" i="1"/>
  <c r="BD290" i="1"/>
  <c r="BF341" i="1"/>
  <c r="BF339" i="1"/>
  <c r="BF337" i="1"/>
  <c r="BF335" i="1"/>
  <c r="BF333" i="1"/>
  <c r="BF331" i="1"/>
  <c r="BF329" i="1"/>
  <c r="BF327" i="1"/>
  <c r="BF325" i="1"/>
  <c r="BF323" i="1"/>
  <c r="BF321" i="1"/>
  <c r="BF319" i="1"/>
  <c r="BF317" i="1"/>
  <c r="BF315" i="1"/>
  <c r="BF313" i="1"/>
  <c r="BF311" i="1"/>
  <c r="BF309" i="1"/>
  <c r="BF307" i="1"/>
  <c r="BF305" i="1"/>
  <c r="BF303" i="1"/>
  <c r="BF301" i="1"/>
  <c r="BF299" i="1"/>
  <c r="BF297" i="1"/>
  <c r="BF295" i="1"/>
  <c r="BF293" i="1"/>
  <c r="BF291" i="1"/>
  <c r="BF289" i="1"/>
  <c r="BH342" i="1"/>
  <c r="BH340" i="1"/>
  <c r="BH338" i="1"/>
  <c r="BH336" i="1"/>
  <c r="BH334" i="1"/>
  <c r="BH332" i="1"/>
  <c r="BH330" i="1"/>
  <c r="BH328" i="1"/>
  <c r="BH326" i="1"/>
  <c r="BH324" i="1"/>
  <c r="BH322" i="1"/>
  <c r="BH320" i="1"/>
  <c r="BH318" i="1"/>
  <c r="BH316" i="1"/>
  <c r="BH314" i="1"/>
  <c r="BH312" i="1"/>
  <c r="BH310" i="1"/>
  <c r="BH308" i="1"/>
  <c r="BH306" i="1"/>
  <c r="BH304" i="1"/>
  <c r="BH302" i="1"/>
  <c r="BH300" i="1"/>
  <c r="BH298" i="1"/>
  <c r="BH296" i="1"/>
  <c r="BH294" i="1"/>
  <c r="BH292" i="1"/>
  <c r="BH290" i="1"/>
  <c r="BH288" i="1"/>
  <c r="BJ343" i="1"/>
  <c r="BJ341" i="1"/>
  <c r="BJ339" i="1"/>
  <c r="BJ337" i="1"/>
  <c r="BJ335" i="1"/>
  <c r="BJ333" i="1"/>
  <c r="BJ331" i="1"/>
  <c r="BJ329" i="1"/>
  <c r="BJ327" i="1"/>
  <c r="BJ325" i="1"/>
  <c r="BJ323" i="1"/>
  <c r="BJ321" i="1"/>
  <c r="BJ319" i="1"/>
  <c r="BJ317" i="1"/>
  <c r="BJ315" i="1"/>
  <c r="BJ313" i="1"/>
  <c r="BJ311" i="1"/>
  <c r="BJ309" i="1"/>
  <c r="BJ307" i="1"/>
  <c r="BJ305" i="1"/>
  <c r="BJ303" i="1"/>
  <c r="BJ301" i="1"/>
  <c r="BJ299" i="1"/>
  <c r="BJ297" i="1"/>
  <c r="BJ295" i="1"/>
  <c r="BJ293" i="1"/>
  <c r="BJ291" i="1"/>
  <c r="BJ289" i="1"/>
  <c r="BJ287" i="1"/>
  <c r="BL344" i="1"/>
  <c r="BL342" i="1"/>
  <c r="BL340" i="1"/>
  <c r="BL338" i="1"/>
  <c r="BL336" i="1"/>
  <c r="BL334" i="1"/>
  <c r="BL332" i="1"/>
  <c r="BL330" i="1"/>
  <c r="BL328" i="1"/>
  <c r="BL326" i="1"/>
  <c r="BL324" i="1"/>
  <c r="BL322" i="1"/>
  <c r="BL320" i="1"/>
  <c r="BL318" i="1"/>
  <c r="BL316" i="1"/>
  <c r="BL314" i="1"/>
  <c r="BL312" i="1"/>
  <c r="BL310" i="1"/>
  <c r="BL308" i="1"/>
  <c r="BL306" i="1"/>
  <c r="BL304" i="1"/>
  <c r="BL302" i="1"/>
  <c r="BL300" i="1"/>
  <c r="BL298" i="1"/>
  <c r="BL296" i="1"/>
  <c r="BL294" i="1"/>
  <c r="BL292" i="1"/>
  <c r="BL290" i="1"/>
  <c r="BL288" i="1"/>
  <c r="BL286" i="1"/>
  <c r="BN345" i="1"/>
  <c r="BN343" i="1"/>
  <c r="BN341" i="1"/>
  <c r="BN339" i="1"/>
  <c r="BN337" i="1"/>
  <c r="BN335" i="1"/>
  <c r="BN333" i="1"/>
  <c r="BN331" i="1"/>
  <c r="BN329" i="1"/>
  <c r="BN327" i="1"/>
  <c r="BN325" i="1"/>
  <c r="BN323" i="1"/>
  <c r="BN321" i="1"/>
  <c r="BN319" i="1"/>
  <c r="BN317" i="1"/>
  <c r="BN315" i="1"/>
  <c r="BN313" i="1"/>
  <c r="BN311" i="1"/>
  <c r="BN309" i="1"/>
  <c r="BN307" i="1"/>
  <c r="BN305" i="1"/>
  <c r="BN303" i="1"/>
  <c r="BN301" i="1"/>
  <c r="BN299" i="1"/>
  <c r="BN297" i="1"/>
  <c r="BN295" i="1"/>
  <c r="BN293" i="1"/>
  <c r="BN291" i="1"/>
  <c r="BN289" i="1"/>
  <c r="BN287" i="1"/>
  <c r="BN285" i="1"/>
  <c r="BP286" i="1"/>
  <c r="BP288" i="1"/>
  <c r="BP290" i="1"/>
  <c r="BP292" i="1"/>
  <c r="BP294" i="1"/>
  <c r="BP296" i="1"/>
  <c r="BP298" i="1"/>
  <c r="BP300" i="1"/>
  <c r="BP302" i="1"/>
  <c r="BP304" i="1"/>
  <c r="BP306" i="1"/>
  <c r="BP308" i="1"/>
  <c r="BP310" i="1"/>
  <c r="BP312" i="1"/>
  <c r="BP314" i="1"/>
  <c r="BP316" i="1"/>
  <c r="BP318" i="1"/>
  <c r="BP320" i="1"/>
  <c r="BP322" i="1"/>
  <c r="BP324" i="1"/>
  <c r="BP326" i="1"/>
  <c r="BP328" i="1"/>
  <c r="BP330" i="1"/>
  <c r="BP332" i="1"/>
  <c r="BP334" i="1"/>
  <c r="BP336" i="1"/>
  <c r="BP338" i="1"/>
  <c r="BP340" i="1"/>
  <c r="BP342" i="1"/>
  <c r="BP344" i="1"/>
  <c r="BP346" i="1"/>
  <c r="BP284" i="1"/>
  <c r="BR347" i="1"/>
  <c r="BR283" i="1"/>
  <c r="BR274" i="1"/>
  <c r="BR244" i="1"/>
  <c r="BR210" i="1"/>
  <c r="H243" i="1"/>
  <c r="H241" i="1"/>
  <c r="B93" i="1"/>
  <c r="B92" i="1"/>
  <c r="B91" i="1"/>
  <c r="B203" i="1"/>
  <c r="B204" i="1"/>
  <c r="B202" i="1"/>
  <c r="B201" i="1"/>
  <c r="B200" i="1"/>
  <c r="AM163" i="1"/>
  <c r="AP66" i="1"/>
  <c r="AM127" i="1"/>
  <c r="AM91" i="1"/>
  <c r="I108" i="1"/>
  <c r="I106" i="1"/>
  <c r="B89" i="1"/>
  <c r="B64" i="1"/>
  <c r="B63" i="1"/>
  <c r="B62" i="1"/>
  <c r="E60" i="1"/>
  <c r="B90" i="1"/>
  <c r="F242" i="1"/>
  <c r="G107" i="1"/>
  <c r="H71" i="1"/>
  <c r="H50" i="1"/>
  <c r="H30" i="1"/>
  <c r="E42" i="1"/>
  <c r="E27" i="1"/>
  <c r="J20" i="1"/>
  <c r="H20" i="1"/>
  <c r="H19" i="1"/>
  <c r="C15" i="1"/>
  <c r="C14" i="1"/>
  <c r="B15" i="1"/>
  <c r="F15" i="1" s="1"/>
  <c r="B14" i="1"/>
  <c r="F14" i="1" s="1"/>
  <c r="AD32" i="1" l="1"/>
  <c r="T36" i="1"/>
  <c r="T32" i="1"/>
  <c r="AD28" i="1"/>
  <c r="B32" i="1"/>
  <c r="L30" i="1"/>
  <c r="T34" i="1" s="1"/>
  <c r="J72" i="1"/>
  <c r="J244" i="1"/>
  <c r="J240" i="1"/>
  <c r="L239" i="1" s="1"/>
  <c r="N238" i="1" s="1"/>
  <c r="P237" i="1" s="1"/>
  <c r="R236" i="1" s="1"/>
  <c r="T235" i="1" s="1"/>
  <c r="V234" i="1" s="1"/>
  <c r="X233" i="1" s="1"/>
  <c r="Z232" i="1" s="1"/>
  <c r="AB231" i="1" s="1"/>
  <c r="AD230" i="1" s="1"/>
  <c r="AF229" i="1" s="1"/>
  <c r="AH228" i="1" s="1"/>
  <c r="AJ227" i="1" s="1"/>
  <c r="AL226" i="1" s="1"/>
  <c r="AN225" i="1" s="1"/>
  <c r="AP224" i="1" s="1"/>
  <c r="AR223" i="1" s="1"/>
  <c r="AT222" i="1" s="1"/>
  <c r="AV221" i="1" s="1"/>
  <c r="AX220" i="1" s="1"/>
  <c r="AZ219" i="1" s="1"/>
  <c r="BB218" i="1" s="1"/>
  <c r="BD217" i="1" s="1"/>
  <c r="BF216" i="1" s="1"/>
  <c r="BH215" i="1" s="1"/>
  <c r="BJ214" i="1" s="1"/>
  <c r="BL213" i="1" s="1"/>
  <c r="BN212" i="1" s="1"/>
  <c r="BP211" i="1" s="1"/>
  <c r="H242" i="1"/>
  <c r="H244" i="1"/>
  <c r="J245" i="1" s="1"/>
  <c r="I109" i="1"/>
  <c r="K110" i="1" s="1"/>
  <c r="J71" i="1"/>
  <c r="L70" i="1" s="1"/>
  <c r="J73" i="1"/>
  <c r="L74" i="1" s="1"/>
  <c r="I107" i="1"/>
  <c r="K106" i="1" s="1"/>
  <c r="K105" i="1"/>
  <c r="M104" i="1" s="1"/>
  <c r="O103" i="1" s="1"/>
  <c r="Q102" i="1" s="1"/>
  <c r="S101" i="1" s="1"/>
  <c r="U100" i="1" s="1"/>
  <c r="W99" i="1" s="1"/>
  <c r="Y98" i="1" s="1"/>
  <c r="AA97" i="1" s="1"/>
  <c r="AC96" i="1" s="1"/>
  <c r="AE95" i="1" s="1"/>
  <c r="AG94" i="1" s="1"/>
  <c r="AI93" i="1" s="1"/>
  <c r="AK92" i="1" s="1"/>
  <c r="I15" i="1"/>
  <c r="J50" i="1"/>
  <c r="L49" i="1" s="1"/>
  <c r="J52" i="1"/>
  <c r="L53" i="1" s="1"/>
  <c r="M30" i="1"/>
  <c r="AP47" i="1"/>
  <c r="K20" i="1"/>
  <c r="O15" i="1"/>
  <c r="I14" i="1"/>
  <c r="R35" i="1" l="1"/>
  <c r="J30" i="1"/>
  <c r="R33" i="1"/>
  <c r="P34" i="1" s="1"/>
  <c r="AD30" i="1"/>
  <c r="AB31" i="1" s="1"/>
  <c r="J242" i="1"/>
  <c r="L241" i="1" s="1"/>
  <c r="N240" i="1" s="1"/>
  <c r="P239" i="1" s="1"/>
  <c r="R238" i="1" s="1"/>
  <c r="T237" i="1" s="1"/>
  <c r="V236" i="1" s="1"/>
  <c r="X235" i="1" s="1"/>
  <c r="Z234" i="1" s="1"/>
  <c r="AB233" i="1" s="1"/>
  <c r="AD232" i="1" s="1"/>
  <c r="AF231" i="1" s="1"/>
  <c r="AH230" i="1" s="1"/>
  <c r="AJ229" i="1" s="1"/>
  <c r="AL228" i="1" s="1"/>
  <c r="AN227" i="1" s="1"/>
  <c r="AP226" i="1" s="1"/>
  <c r="AR225" i="1" s="1"/>
  <c r="AT224" i="1" s="1"/>
  <c r="AV223" i="1" s="1"/>
  <c r="AX222" i="1" s="1"/>
  <c r="AZ221" i="1" s="1"/>
  <c r="BB220" i="1" s="1"/>
  <c r="BD219" i="1" s="1"/>
  <c r="BF218" i="1" s="1"/>
  <c r="BH217" i="1" s="1"/>
  <c r="BJ216" i="1" s="1"/>
  <c r="BL215" i="1" s="1"/>
  <c r="BN214" i="1" s="1"/>
  <c r="BP213" i="1" s="1"/>
  <c r="BR212" i="1" s="1"/>
  <c r="BR356" i="1" s="1"/>
  <c r="L51" i="1"/>
  <c r="B65" i="1"/>
  <c r="J70" i="1"/>
  <c r="L69" i="1" s="1"/>
  <c r="N68" i="1" s="1"/>
  <c r="P67" i="1" s="1"/>
  <c r="R66" i="1" s="1"/>
  <c r="T65" i="1" s="1"/>
  <c r="V64" i="1" s="1"/>
  <c r="X63" i="1" s="1"/>
  <c r="AR65" i="1" s="1"/>
  <c r="L72" i="1"/>
  <c r="J241" i="1"/>
  <c r="J243" i="1"/>
  <c r="L243" i="1"/>
  <c r="N242" i="1" s="1"/>
  <c r="P241" i="1" s="1"/>
  <c r="R240" i="1" s="1"/>
  <c r="T239" i="1" s="1"/>
  <c r="V238" i="1" s="1"/>
  <c r="X237" i="1" s="1"/>
  <c r="Z236" i="1" s="1"/>
  <c r="AB235" i="1" s="1"/>
  <c r="AD234" i="1" s="1"/>
  <c r="AF233" i="1" s="1"/>
  <c r="AH232" i="1" s="1"/>
  <c r="AJ231" i="1" s="1"/>
  <c r="AL230" i="1" s="1"/>
  <c r="AN229" i="1" s="1"/>
  <c r="AP228" i="1" s="1"/>
  <c r="AR227" i="1" s="1"/>
  <c r="AT226" i="1" s="1"/>
  <c r="AV225" i="1" s="1"/>
  <c r="AX224" i="1" s="1"/>
  <c r="AZ223" i="1" s="1"/>
  <c r="BB222" i="1" s="1"/>
  <c r="BD221" i="1" s="1"/>
  <c r="BF220" i="1" s="1"/>
  <c r="BH219" i="1" s="1"/>
  <c r="BJ218" i="1" s="1"/>
  <c r="BL217" i="1" s="1"/>
  <c r="BN216" i="1" s="1"/>
  <c r="BP215" i="1" s="1"/>
  <c r="BR214" i="1" s="1"/>
  <c r="L245" i="1"/>
  <c r="K108" i="1"/>
  <c r="AP45" i="1"/>
  <c r="AL45" i="1"/>
  <c r="O14" i="1"/>
  <c r="L73" i="1"/>
  <c r="L71" i="1"/>
  <c r="N70" i="1" s="1"/>
  <c r="P69" i="1" s="1"/>
  <c r="R68" i="1" s="1"/>
  <c r="T67" i="1" s="1"/>
  <c r="V66" i="1" s="1"/>
  <c r="X65" i="1" s="1"/>
  <c r="AR67" i="1" s="1"/>
  <c r="K109" i="1"/>
  <c r="K107" i="1"/>
  <c r="M106" i="1" s="1"/>
  <c r="AL47" i="1"/>
  <c r="AA47" i="1"/>
  <c r="L14" i="1" a="1"/>
  <c r="L14" i="1" s="1"/>
  <c r="AB29" i="1" l="1"/>
  <c r="Z30" i="1" s="1"/>
  <c r="L29" i="1"/>
  <c r="L31" i="1"/>
  <c r="BR285" i="1"/>
  <c r="BK65" i="1"/>
  <c r="O105" i="1"/>
  <c r="Q104" i="1" s="1"/>
  <c r="S103" i="1" s="1"/>
  <c r="U102" i="1" s="1"/>
  <c r="W101" i="1" s="1"/>
  <c r="Y100" i="1" s="1"/>
  <c r="AA99" i="1" s="1"/>
  <c r="AC98" i="1" s="1"/>
  <c r="AE97" i="1" s="1"/>
  <c r="AG96" i="1" s="1"/>
  <c r="AI95" i="1" s="1"/>
  <c r="AK94" i="1" s="1"/>
  <c r="AM93" i="1" s="1"/>
  <c r="BR287" i="1"/>
  <c r="BR358" i="1"/>
  <c r="N246" i="1"/>
  <c r="N244" i="1"/>
  <c r="P243" i="1" s="1"/>
  <c r="R242" i="1" s="1"/>
  <c r="T241" i="1" s="1"/>
  <c r="V240" i="1" s="1"/>
  <c r="X239" i="1" s="1"/>
  <c r="Z238" i="1" s="1"/>
  <c r="AB237" i="1" s="1"/>
  <c r="AD236" i="1" s="1"/>
  <c r="AF235" i="1" s="1"/>
  <c r="AH234" i="1" s="1"/>
  <c r="AJ233" i="1" s="1"/>
  <c r="AL232" i="1" s="1"/>
  <c r="AN231" i="1" s="1"/>
  <c r="AP230" i="1" s="1"/>
  <c r="AR229" i="1" s="1"/>
  <c r="AT228" i="1" s="1"/>
  <c r="AV227" i="1" s="1"/>
  <c r="AX226" i="1" s="1"/>
  <c r="AZ225" i="1" s="1"/>
  <c r="BB224" i="1" s="1"/>
  <c r="BD223" i="1" s="1"/>
  <c r="BF222" i="1" s="1"/>
  <c r="BH221" i="1" s="1"/>
  <c r="BJ220" i="1" s="1"/>
  <c r="BL219" i="1" s="1"/>
  <c r="BN218" i="1" s="1"/>
  <c r="BP217" i="1" s="1"/>
  <c r="BR216" i="1" s="1"/>
  <c r="BK67" i="1"/>
  <c r="M110" i="1"/>
  <c r="M108" i="1"/>
  <c r="O107" i="1" s="1"/>
  <c r="Q106" i="1" s="1"/>
  <c r="S105" i="1" s="1"/>
  <c r="U104" i="1" s="1"/>
  <c r="W103" i="1" s="1"/>
  <c r="Y102" i="1" s="1"/>
  <c r="AA101" i="1" s="1"/>
  <c r="AC100" i="1" s="1"/>
  <c r="AE99" i="1" s="1"/>
  <c r="AG98" i="1" s="1"/>
  <c r="AI97" i="1" s="1"/>
  <c r="AK96" i="1" s="1"/>
  <c r="AM95" i="1" s="1"/>
  <c r="N74" i="1"/>
  <c r="N72" i="1"/>
  <c r="P71" i="1" s="1"/>
  <c r="R70" i="1" s="1"/>
  <c r="T69" i="1" s="1"/>
  <c r="V68" i="1" s="1"/>
  <c r="X67" i="1" s="1"/>
  <c r="AR69" i="1" s="1"/>
  <c r="AO47" i="1"/>
  <c r="AP53" i="1" l="1"/>
  <c r="BI66" i="1"/>
  <c r="AP68" i="1"/>
  <c r="AN67" i="1" s="1"/>
  <c r="AM129" i="1"/>
  <c r="AM165" i="1"/>
  <c r="BR289" i="1"/>
  <c r="BR360" i="1"/>
  <c r="P247" i="1"/>
  <c r="P245" i="1"/>
  <c r="R244" i="1" s="1"/>
  <c r="T243" i="1" s="1"/>
  <c r="V242" i="1" s="1"/>
  <c r="X241" i="1" s="1"/>
  <c r="Z240" i="1" s="1"/>
  <c r="AB239" i="1" s="1"/>
  <c r="AD238" i="1" s="1"/>
  <c r="AF237" i="1" s="1"/>
  <c r="AH236" i="1" s="1"/>
  <c r="AJ235" i="1" s="1"/>
  <c r="AL234" i="1" s="1"/>
  <c r="AN233" i="1" s="1"/>
  <c r="AP232" i="1" s="1"/>
  <c r="AR231" i="1" s="1"/>
  <c r="AT230" i="1" s="1"/>
  <c r="AV229" i="1" s="1"/>
  <c r="AX228" i="1" s="1"/>
  <c r="AZ227" i="1" s="1"/>
  <c r="BB226" i="1" s="1"/>
  <c r="BD225" i="1" s="1"/>
  <c r="BF224" i="1" s="1"/>
  <c r="BH223" i="1" s="1"/>
  <c r="BJ222" i="1" s="1"/>
  <c r="BL221" i="1" s="1"/>
  <c r="BN220" i="1" s="1"/>
  <c r="BP219" i="1" s="1"/>
  <c r="BR218" i="1" s="1"/>
  <c r="AM131" i="1"/>
  <c r="AM167" i="1"/>
  <c r="BK69" i="1"/>
  <c r="P75" i="1"/>
  <c r="P73" i="1"/>
  <c r="R72" i="1" s="1"/>
  <c r="T71" i="1" s="1"/>
  <c r="V70" i="1" s="1"/>
  <c r="X69" i="1" s="1"/>
  <c r="O111" i="1"/>
  <c r="O109" i="1"/>
  <c r="Q108" i="1" s="1"/>
  <c r="S107" i="1" s="1"/>
  <c r="U106" i="1" s="1"/>
  <c r="W105" i="1" s="1"/>
  <c r="Y104" i="1" s="1"/>
  <c r="AA103" i="1" s="1"/>
  <c r="AC102" i="1" s="1"/>
  <c r="AE101" i="1" s="1"/>
  <c r="AG100" i="1" s="1"/>
  <c r="AI99" i="1" s="1"/>
  <c r="AK98" i="1" s="1"/>
  <c r="AM97" i="1" s="1"/>
  <c r="AL53" i="1"/>
  <c r="AP51" i="1"/>
  <c r="AP49" i="1"/>
  <c r="AK166" i="1" l="1"/>
  <c r="AK164" i="1"/>
  <c r="AI165" i="1" s="1"/>
  <c r="AK130" i="1"/>
  <c r="AK128" i="1"/>
  <c r="BI68" i="1"/>
  <c r="BR291" i="1"/>
  <c r="BR362" i="1"/>
  <c r="R248" i="1"/>
  <c r="R246" i="1"/>
  <c r="T245" i="1" s="1"/>
  <c r="V244" i="1" s="1"/>
  <c r="X243" i="1" s="1"/>
  <c r="Z242" i="1" s="1"/>
  <c r="AB241" i="1" s="1"/>
  <c r="AD240" i="1" s="1"/>
  <c r="AF239" i="1" s="1"/>
  <c r="AH238" i="1" s="1"/>
  <c r="AJ237" i="1" s="1"/>
  <c r="AL236" i="1" s="1"/>
  <c r="AN235" i="1" s="1"/>
  <c r="AP234" i="1" s="1"/>
  <c r="AR233" i="1" s="1"/>
  <c r="AT232" i="1" s="1"/>
  <c r="AV231" i="1" s="1"/>
  <c r="AX230" i="1" s="1"/>
  <c r="AZ229" i="1" s="1"/>
  <c r="BB228" i="1" s="1"/>
  <c r="BD227" i="1" s="1"/>
  <c r="BF226" i="1" s="1"/>
  <c r="BH225" i="1" s="1"/>
  <c r="BJ224" i="1" s="1"/>
  <c r="BL223" i="1" s="1"/>
  <c r="BN222" i="1" s="1"/>
  <c r="BP221" i="1" s="1"/>
  <c r="BR220" i="1" s="1"/>
  <c r="AM133" i="1"/>
  <c r="AM169" i="1"/>
  <c r="AO53" i="1"/>
  <c r="Q112" i="1"/>
  <c r="Q110" i="1"/>
  <c r="S109" i="1" s="1"/>
  <c r="U108" i="1" s="1"/>
  <c r="W107" i="1" s="1"/>
  <c r="Y106" i="1" s="1"/>
  <c r="AA105" i="1" s="1"/>
  <c r="AC104" i="1" s="1"/>
  <c r="AE103" i="1" s="1"/>
  <c r="AG102" i="1" s="1"/>
  <c r="AI101" i="1" s="1"/>
  <c r="AK100" i="1" s="1"/>
  <c r="AM99" i="1" s="1"/>
  <c r="BK71" i="1"/>
  <c r="AR71" i="1"/>
  <c r="R76" i="1"/>
  <c r="R74" i="1"/>
  <c r="T73" i="1" s="1"/>
  <c r="V72" i="1" s="1"/>
  <c r="X71" i="1" s="1"/>
  <c r="AA49" i="1"/>
  <c r="AL49" i="1"/>
  <c r="AL51" i="1"/>
  <c r="AA51" i="1"/>
  <c r="AI129" i="1" l="1"/>
  <c r="AK132" i="1"/>
  <c r="AI131" i="1" s="1"/>
  <c r="AK168" i="1"/>
  <c r="AI167" i="1" s="1"/>
  <c r="AG166" i="1" s="1"/>
  <c r="AP70" i="1"/>
  <c r="BG67" i="1"/>
  <c r="BI70" i="1"/>
  <c r="BG69" i="1" s="1"/>
  <c r="BR293" i="1"/>
  <c r="BR364" i="1"/>
  <c r="T249" i="1"/>
  <c r="T247" i="1"/>
  <c r="V246" i="1" s="1"/>
  <c r="X245" i="1" s="1"/>
  <c r="Z244" i="1" s="1"/>
  <c r="AB243" i="1" s="1"/>
  <c r="AD242" i="1" s="1"/>
  <c r="AF241" i="1" s="1"/>
  <c r="AH240" i="1" s="1"/>
  <c r="AJ239" i="1" s="1"/>
  <c r="AL238" i="1" s="1"/>
  <c r="AN237" i="1" s="1"/>
  <c r="AP236" i="1" s="1"/>
  <c r="AR235" i="1" s="1"/>
  <c r="AT234" i="1" s="1"/>
  <c r="AV233" i="1" s="1"/>
  <c r="AX232" i="1" s="1"/>
  <c r="AZ231" i="1" s="1"/>
  <c r="BB230" i="1" s="1"/>
  <c r="BD229" i="1" s="1"/>
  <c r="BF228" i="1" s="1"/>
  <c r="BH227" i="1" s="1"/>
  <c r="BJ226" i="1" s="1"/>
  <c r="BL225" i="1" s="1"/>
  <c r="BN224" i="1" s="1"/>
  <c r="BP223" i="1" s="1"/>
  <c r="BR222" i="1" s="1"/>
  <c r="AM135" i="1"/>
  <c r="AM171" i="1"/>
  <c r="AK170" i="1" s="1"/>
  <c r="T77" i="1"/>
  <c r="T75" i="1"/>
  <c r="V74" i="1" s="1"/>
  <c r="X73" i="1" s="1"/>
  <c r="BK75" i="1" s="1"/>
  <c r="AO51" i="1"/>
  <c r="AO49" i="1"/>
  <c r="S113" i="1"/>
  <c r="S111" i="1"/>
  <c r="U110" i="1" s="1"/>
  <c r="W109" i="1" s="1"/>
  <c r="Y108" i="1" s="1"/>
  <c r="AA107" i="1" s="1"/>
  <c r="AC106" i="1" s="1"/>
  <c r="AE105" i="1" s="1"/>
  <c r="AG104" i="1" s="1"/>
  <c r="AI103" i="1" s="1"/>
  <c r="AK102" i="1" s="1"/>
  <c r="AM101" i="1" s="1"/>
  <c r="BK73" i="1"/>
  <c r="AR73" i="1"/>
  <c r="BE68" i="1" l="1"/>
  <c r="AK136" i="1"/>
  <c r="AI169" i="1"/>
  <c r="AK172" i="1"/>
  <c r="AK134" i="1"/>
  <c r="AI133" i="1" s="1"/>
  <c r="AG130" i="1"/>
  <c r="BI74" i="1"/>
  <c r="BI72" i="1"/>
  <c r="BG73" i="1" s="1"/>
  <c r="AN69" i="1"/>
  <c r="AL68" i="1" s="1"/>
  <c r="BG71" i="1"/>
  <c r="BE70" i="1" s="1"/>
  <c r="AP72" i="1"/>
  <c r="AR75" i="1"/>
  <c r="AP74" i="1" s="1"/>
  <c r="BR366" i="1"/>
  <c r="BR295" i="1"/>
  <c r="V250" i="1"/>
  <c r="V248" i="1"/>
  <c r="X247" i="1" s="1"/>
  <c r="Z246" i="1" s="1"/>
  <c r="AB245" i="1" s="1"/>
  <c r="AD244" i="1" s="1"/>
  <c r="AF243" i="1" s="1"/>
  <c r="AH242" i="1" s="1"/>
  <c r="AJ241" i="1" s="1"/>
  <c r="AL240" i="1" s="1"/>
  <c r="AN239" i="1" s="1"/>
  <c r="AP238" i="1" s="1"/>
  <c r="AR237" i="1" s="1"/>
  <c r="AT236" i="1" s="1"/>
  <c r="AV235" i="1" s="1"/>
  <c r="AX234" i="1" s="1"/>
  <c r="AZ233" i="1" s="1"/>
  <c r="BB232" i="1" s="1"/>
  <c r="BD231" i="1" s="1"/>
  <c r="BF230" i="1" s="1"/>
  <c r="BH229" i="1" s="1"/>
  <c r="BJ228" i="1" s="1"/>
  <c r="BL227" i="1" s="1"/>
  <c r="BN226" i="1" s="1"/>
  <c r="BP225" i="1" s="1"/>
  <c r="BR224" i="1" s="1"/>
  <c r="AM137" i="1"/>
  <c r="AM173" i="1"/>
  <c r="U114" i="1"/>
  <c r="U112" i="1"/>
  <c r="W111" i="1" s="1"/>
  <c r="Y110" i="1" s="1"/>
  <c r="AA109" i="1" s="1"/>
  <c r="AC108" i="1" s="1"/>
  <c r="AE107" i="1" s="1"/>
  <c r="AG106" i="1" s="1"/>
  <c r="AI105" i="1" s="1"/>
  <c r="AK104" i="1" s="1"/>
  <c r="AM103" i="1" s="1"/>
  <c r="V78" i="1"/>
  <c r="X79" i="1" s="1"/>
  <c r="V76" i="1"/>
  <c r="X75" i="1" s="1"/>
  <c r="BC69" i="1" l="1"/>
  <c r="AG168" i="1"/>
  <c r="AK174" i="1"/>
  <c r="AG132" i="1"/>
  <c r="AE131" i="1" s="1"/>
  <c r="AI135" i="1"/>
  <c r="AI171" i="1"/>
  <c r="AR81" i="1"/>
  <c r="BK81" i="1"/>
  <c r="AN73" i="1"/>
  <c r="AN71" i="1"/>
  <c r="AL70" i="1" s="1"/>
  <c r="AJ69" i="1" s="1"/>
  <c r="AP76" i="1"/>
  <c r="BE72" i="1"/>
  <c r="BR368" i="1"/>
  <c r="BR297" i="1"/>
  <c r="X251" i="1"/>
  <c r="X249" i="1"/>
  <c r="Z248" i="1" s="1"/>
  <c r="AB247" i="1" s="1"/>
  <c r="AD246" i="1" s="1"/>
  <c r="AF245" i="1" s="1"/>
  <c r="AH244" i="1" s="1"/>
  <c r="AJ243" i="1" s="1"/>
  <c r="AL242" i="1" s="1"/>
  <c r="AN241" i="1" s="1"/>
  <c r="AP240" i="1" s="1"/>
  <c r="AR239" i="1" s="1"/>
  <c r="AT238" i="1" s="1"/>
  <c r="AV237" i="1" s="1"/>
  <c r="AX236" i="1" s="1"/>
  <c r="AZ235" i="1" s="1"/>
  <c r="BB234" i="1" s="1"/>
  <c r="BD233" i="1" s="1"/>
  <c r="BF232" i="1" s="1"/>
  <c r="BH231" i="1" s="1"/>
  <c r="BJ230" i="1" s="1"/>
  <c r="BL229" i="1" s="1"/>
  <c r="BN228" i="1" s="1"/>
  <c r="BP227" i="1" s="1"/>
  <c r="BR226" i="1" s="1"/>
  <c r="AM139" i="1"/>
  <c r="AM175" i="1"/>
  <c r="BK77" i="1"/>
  <c r="AR77" i="1"/>
  <c r="X77" i="1"/>
  <c r="W115" i="1"/>
  <c r="W113" i="1"/>
  <c r="Y112" i="1" s="1"/>
  <c r="AA111" i="1" s="1"/>
  <c r="AC110" i="1" s="1"/>
  <c r="AE109" i="1" s="1"/>
  <c r="AG108" i="1" s="1"/>
  <c r="AI107" i="1" s="1"/>
  <c r="AK106" i="1" s="1"/>
  <c r="AM105" i="1" s="1"/>
  <c r="AK138" i="1" l="1"/>
  <c r="AK176" i="1"/>
  <c r="AE167" i="1"/>
  <c r="AG170" i="1"/>
  <c r="AE169" i="1" s="1"/>
  <c r="AG134" i="1"/>
  <c r="AE133" i="1" s="1"/>
  <c r="AI173" i="1"/>
  <c r="AG172" i="1" s="1"/>
  <c r="AL72" i="1"/>
  <c r="AJ71" i="1"/>
  <c r="AH70" i="1" s="1"/>
  <c r="BI76" i="1"/>
  <c r="AN75" i="1"/>
  <c r="AL74" i="1" s="1"/>
  <c r="BC71" i="1"/>
  <c r="BA70" i="1" s="1"/>
  <c r="BR299" i="1"/>
  <c r="BR370" i="1"/>
  <c r="Z252" i="1"/>
  <c r="Z250" i="1"/>
  <c r="AB249" i="1" s="1"/>
  <c r="AD248" i="1" s="1"/>
  <c r="AF247" i="1" s="1"/>
  <c r="AH246" i="1" s="1"/>
  <c r="AJ245" i="1" s="1"/>
  <c r="AL244" i="1" s="1"/>
  <c r="AN243" i="1" s="1"/>
  <c r="AP242" i="1" s="1"/>
  <c r="AR241" i="1" s="1"/>
  <c r="AT240" i="1" s="1"/>
  <c r="AV239" i="1" s="1"/>
  <c r="AX238" i="1" s="1"/>
  <c r="AZ237" i="1" s="1"/>
  <c r="BB236" i="1" s="1"/>
  <c r="BD235" i="1" s="1"/>
  <c r="BF234" i="1" s="1"/>
  <c r="BH233" i="1" s="1"/>
  <c r="BJ232" i="1" s="1"/>
  <c r="BL231" i="1" s="1"/>
  <c r="BN230" i="1" s="1"/>
  <c r="BP229" i="1" s="1"/>
  <c r="BR228" i="1" s="1"/>
  <c r="AM141" i="1"/>
  <c r="AM177" i="1"/>
  <c r="Y116" i="1"/>
  <c r="Y114" i="1"/>
  <c r="AA113" i="1" s="1"/>
  <c r="AC112" i="1" s="1"/>
  <c r="AE111" i="1" s="1"/>
  <c r="AG110" i="1" s="1"/>
  <c r="AI109" i="1" s="1"/>
  <c r="AK108" i="1" s="1"/>
  <c r="AM107" i="1" s="1"/>
  <c r="BK79" i="1"/>
  <c r="BI80" i="1" s="1"/>
  <c r="AR79" i="1"/>
  <c r="AP80" i="1" s="1"/>
  <c r="AC168" i="1" l="1"/>
  <c r="AK142" i="1"/>
  <c r="AI139" i="1"/>
  <c r="AI137" i="1"/>
  <c r="AC132" i="1"/>
  <c r="AI175" i="1"/>
  <c r="AG174" i="1" s="1"/>
  <c r="AK178" i="1"/>
  <c r="AI177" i="1" s="1"/>
  <c r="AE171" i="1"/>
  <c r="AK140" i="1"/>
  <c r="AP78" i="1"/>
  <c r="AN79" i="1" s="1"/>
  <c r="BG75" i="1"/>
  <c r="BE74" i="1" s="1"/>
  <c r="BC73" i="1" s="1"/>
  <c r="BA72" i="1" s="1"/>
  <c r="AY71" i="1" s="1"/>
  <c r="BI78" i="1"/>
  <c r="BG77" i="1" s="1"/>
  <c r="BE76" i="1" s="1"/>
  <c r="AN77" i="1"/>
  <c r="AL78" i="1" s="1"/>
  <c r="AJ73" i="1"/>
  <c r="BG79" i="1"/>
  <c r="BR372" i="1"/>
  <c r="BR301" i="1"/>
  <c r="AB253" i="1"/>
  <c r="AB251" i="1"/>
  <c r="AD250" i="1" s="1"/>
  <c r="AF249" i="1" s="1"/>
  <c r="AH248" i="1" s="1"/>
  <c r="AJ247" i="1" s="1"/>
  <c r="AL246" i="1" s="1"/>
  <c r="AN245" i="1" s="1"/>
  <c r="AP244" i="1" s="1"/>
  <c r="AR243" i="1" s="1"/>
  <c r="AT242" i="1" s="1"/>
  <c r="AV241" i="1" s="1"/>
  <c r="AX240" i="1" s="1"/>
  <c r="AZ239" i="1" s="1"/>
  <c r="BB238" i="1" s="1"/>
  <c r="BD237" i="1" s="1"/>
  <c r="BF236" i="1" s="1"/>
  <c r="BH235" i="1" s="1"/>
  <c r="BJ234" i="1" s="1"/>
  <c r="BL233" i="1" s="1"/>
  <c r="BN232" i="1" s="1"/>
  <c r="BP231" i="1" s="1"/>
  <c r="BR230" i="1" s="1"/>
  <c r="AM143" i="1"/>
  <c r="AM179" i="1"/>
  <c r="AA117" i="1"/>
  <c r="AA115" i="1"/>
  <c r="AC114" i="1" s="1"/>
  <c r="AE113" i="1" s="1"/>
  <c r="AG112" i="1" s="1"/>
  <c r="AI111" i="1" s="1"/>
  <c r="AK110" i="1" s="1"/>
  <c r="AM109" i="1" s="1"/>
  <c r="AI141" i="1" l="1"/>
  <c r="AG140" i="1" s="1"/>
  <c r="AG176" i="1"/>
  <c r="AC170" i="1"/>
  <c r="AK144" i="1"/>
  <c r="AG138" i="1"/>
  <c r="AG136" i="1"/>
  <c r="AE173" i="1"/>
  <c r="AL76" i="1"/>
  <c r="AJ75" i="1" s="1"/>
  <c r="BE78" i="1"/>
  <c r="AH74" i="1"/>
  <c r="AH72" i="1"/>
  <c r="BC75" i="1"/>
  <c r="AJ77" i="1"/>
  <c r="BR303" i="1"/>
  <c r="BR374" i="1"/>
  <c r="AD254" i="1"/>
  <c r="AD252" i="1"/>
  <c r="AF251" i="1" s="1"/>
  <c r="AH250" i="1" s="1"/>
  <c r="AJ249" i="1" s="1"/>
  <c r="AL248" i="1" s="1"/>
  <c r="AN247" i="1" s="1"/>
  <c r="AP246" i="1" s="1"/>
  <c r="AR245" i="1" s="1"/>
  <c r="AT244" i="1" s="1"/>
  <c r="AV243" i="1" s="1"/>
  <c r="AX242" i="1" s="1"/>
  <c r="AZ241" i="1" s="1"/>
  <c r="BB240" i="1" s="1"/>
  <c r="BD239" i="1" s="1"/>
  <c r="BF238" i="1" s="1"/>
  <c r="BH237" i="1" s="1"/>
  <c r="BJ236" i="1" s="1"/>
  <c r="BL235" i="1" s="1"/>
  <c r="BN234" i="1" s="1"/>
  <c r="BP233" i="1" s="1"/>
  <c r="BR232" i="1" s="1"/>
  <c r="AM145" i="1"/>
  <c r="AM181" i="1"/>
  <c r="AC118" i="1"/>
  <c r="AC116" i="1"/>
  <c r="AE115" i="1" s="1"/>
  <c r="AG114" i="1" s="1"/>
  <c r="AI113" i="1" s="1"/>
  <c r="AK112" i="1" s="1"/>
  <c r="AM111" i="1" s="1"/>
  <c r="AE139" i="1" l="1"/>
  <c r="AA169" i="1"/>
  <c r="AE137" i="1"/>
  <c r="AC138" i="1" s="1"/>
  <c r="AE135" i="1"/>
  <c r="AE175" i="1"/>
  <c r="AC172" i="1"/>
  <c r="AK182" i="1"/>
  <c r="AI143" i="1"/>
  <c r="AK146" i="1"/>
  <c r="AK180" i="1"/>
  <c r="BC77" i="1"/>
  <c r="BA76" i="1" s="1"/>
  <c r="AH76" i="1"/>
  <c r="AF75" i="1" s="1"/>
  <c r="AF73" i="1"/>
  <c r="AF71" i="1"/>
  <c r="BA74" i="1"/>
  <c r="BR376" i="1"/>
  <c r="BR305" i="1"/>
  <c r="AF255" i="1"/>
  <c r="AF253" i="1"/>
  <c r="AH252" i="1" s="1"/>
  <c r="AJ251" i="1" s="1"/>
  <c r="AL250" i="1" s="1"/>
  <c r="AN249" i="1" s="1"/>
  <c r="AP248" i="1" s="1"/>
  <c r="AR247" i="1" s="1"/>
  <c r="AT246" i="1" s="1"/>
  <c r="AV245" i="1" s="1"/>
  <c r="AX244" i="1" s="1"/>
  <c r="AZ243" i="1" s="1"/>
  <c r="BB242" i="1" s="1"/>
  <c r="BD241" i="1" s="1"/>
  <c r="BF240" i="1" s="1"/>
  <c r="BH239" i="1" s="1"/>
  <c r="BJ238" i="1" s="1"/>
  <c r="BL237" i="1" s="1"/>
  <c r="BN236" i="1" s="1"/>
  <c r="BP235" i="1" s="1"/>
  <c r="BR234" i="1" s="1"/>
  <c r="AM147" i="1"/>
  <c r="AM183" i="1"/>
  <c r="AE119" i="1"/>
  <c r="AE117" i="1"/>
  <c r="AG116" i="1" s="1"/>
  <c r="AI115" i="1" s="1"/>
  <c r="AK114" i="1" s="1"/>
  <c r="AM113" i="1" s="1"/>
  <c r="AC136" i="1" l="1"/>
  <c r="AA137" i="1" s="1"/>
  <c r="AC134" i="1"/>
  <c r="AI181" i="1"/>
  <c r="AI179" i="1"/>
  <c r="AG144" i="1"/>
  <c r="AG142" i="1"/>
  <c r="AC174" i="1"/>
  <c r="AA173" i="1" s="1"/>
  <c r="AA171" i="1"/>
  <c r="AK148" i="1"/>
  <c r="AI145" i="1"/>
  <c r="AD72" i="1"/>
  <c r="AY75" i="1"/>
  <c r="AY73" i="1"/>
  <c r="AD74" i="1"/>
  <c r="AB73" i="1" s="1"/>
  <c r="BR307" i="1"/>
  <c r="BR378" i="1"/>
  <c r="AH256" i="1"/>
  <c r="AH254" i="1"/>
  <c r="AJ253" i="1" s="1"/>
  <c r="AL252" i="1" s="1"/>
  <c r="AN251" i="1" s="1"/>
  <c r="AP250" i="1" s="1"/>
  <c r="AR249" i="1" s="1"/>
  <c r="AT248" i="1" s="1"/>
  <c r="AV247" i="1" s="1"/>
  <c r="AX246" i="1" s="1"/>
  <c r="AZ245" i="1" s="1"/>
  <c r="BB244" i="1" s="1"/>
  <c r="BD243" i="1" s="1"/>
  <c r="BF242" i="1" s="1"/>
  <c r="BH241" i="1" s="1"/>
  <c r="BJ240" i="1" s="1"/>
  <c r="BL239" i="1" s="1"/>
  <c r="BN238" i="1" s="1"/>
  <c r="BP237" i="1" s="1"/>
  <c r="BR236" i="1" s="1"/>
  <c r="AM149" i="1"/>
  <c r="AM185" i="1"/>
  <c r="AK184" i="1" s="1"/>
  <c r="AG120" i="1"/>
  <c r="AG118" i="1"/>
  <c r="AI117" i="1" s="1"/>
  <c r="AK116" i="1" s="1"/>
  <c r="AM115" i="1" s="1"/>
  <c r="Y172" i="1" l="1"/>
  <c r="AI183" i="1"/>
  <c r="AG182" i="1" s="1"/>
  <c r="AI147" i="1"/>
  <c r="AK186" i="1"/>
  <c r="AG180" i="1"/>
  <c r="AG178" i="1"/>
  <c r="Y170" i="1"/>
  <c r="W171" i="1" s="1"/>
  <c r="AA135" i="1"/>
  <c r="Y136" i="1" s="1"/>
  <c r="AA133" i="1"/>
  <c r="AE143" i="1"/>
  <c r="AE141" i="1"/>
  <c r="AW74" i="1"/>
  <c r="AW72" i="1"/>
  <c r="BR380" i="1"/>
  <c r="BR309" i="1"/>
  <c r="AJ257" i="1"/>
  <c r="AJ255" i="1"/>
  <c r="AL254" i="1" s="1"/>
  <c r="AN253" i="1" s="1"/>
  <c r="AP252" i="1" s="1"/>
  <c r="AR251" i="1" s="1"/>
  <c r="AT250" i="1" s="1"/>
  <c r="AV249" i="1" s="1"/>
  <c r="AX248" i="1" s="1"/>
  <c r="AZ247" i="1" s="1"/>
  <c r="BB246" i="1" s="1"/>
  <c r="BD245" i="1" s="1"/>
  <c r="BF244" i="1" s="1"/>
  <c r="BH243" i="1" s="1"/>
  <c r="BJ242" i="1" s="1"/>
  <c r="BL241" i="1" s="1"/>
  <c r="BN240" i="1" s="1"/>
  <c r="BP239" i="1" s="1"/>
  <c r="BR238" i="1" s="1"/>
  <c r="AM151" i="1"/>
  <c r="AM187" i="1"/>
  <c r="AI121" i="1"/>
  <c r="AK122" i="1" s="1"/>
  <c r="AM123" i="1" s="1"/>
  <c r="AI119" i="1"/>
  <c r="AK118" i="1" s="1"/>
  <c r="AM117" i="1" s="1"/>
  <c r="Y134" i="1" l="1"/>
  <c r="W135" i="1" s="1"/>
  <c r="AM159" i="1"/>
  <c r="AM195" i="1"/>
  <c r="AC142" i="1"/>
  <c r="AC140" i="1"/>
  <c r="AE179" i="1"/>
  <c r="AE177" i="1"/>
  <c r="AG146" i="1"/>
  <c r="AE181" i="1"/>
  <c r="AK150" i="1"/>
  <c r="AI185" i="1"/>
  <c r="AU73" i="1"/>
  <c r="BR382" i="1"/>
  <c r="BR311" i="1"/>
  <c r="AL258" i="1"/>
  <c r="AL256" i="1"/>
  <c r="AN255" i="1" s="1"/>
  <c r="AP254" i="1" s="1"/>
  <c r="AR253" i="1" s="1"/>
  <c r="AT252" i="1" s="1"/>
  <c r="AV251" i="1" s="1"/>
  <c r="AX250" i="1" s="1"/>
  <c r="AZ249" i="1" s="1"/>
  <c r="BB248" i="1" s="1"/>
  <c r="BD247" i="1" s="1"/>
  <c r="BF246" i="1" s="1"/>
  <c r="BH245" i="1" s="1"/>
  <c r="BJ244" i="1" s="1"/>
  <c r="BL243" i="1" s="1"/>
  <c r="BN242" i="1" s="1"/>
  <c r="BP241" i="1" s="1"/>
  <c r="BR240" i="1" s="1"/>
  <c r="AM153" i="1"/>
  <c r="AM189" i="1"/>
  <c r="AK120" i="1"/>
  <c r="AM119" i="1" s="1"/>
  <c r="AC180" i="1" l="1"/>
  <c r="AK188" i="1"/>
  <c r="AE145" i="1"/>
  <c r="AC178" i="1"/>
  <c r="AA179" i="1" s="1"/>
  <c r="AC176" i="1"/>
  <c r="AK154" i="1"/>
  <c r="AK152" i="1"/>
  <c r="AI151" i="1" s="1"/>
  <c r="AI149" i="1"/>
  <c r="AA141" i="1"/>
  <c r="AA139" i="1"/>
  <c r="AG184" i="1"/>
  <c r="BR384" i="1"/>
  <c r="BR313" i="1"/>
  <c r="AN259" i="1"/>
  <c r="AN257" i="1"/>
  <c r="AP256" i="1" s="1"/>
  <c r="AR255" i="1" s="1"/>
  <c r="AT254" i="1" s="1"/>
  <c r="AV253" i="1" s="1"/>
  <c r="AX252" i="1" s="1"/>
  <c r="AZ251" i="1" s="1"/>
  <c r="BB250" i="1" s="1"/>
  <c r="BD249" i="1" s="1"/>
  <c r="BF248" i="1" s="1"/>
  <c r="BH247" i="1" s="1"/>
  <c r="BJ246" i="1" s="1"/>
  <c r="BL245" i="1" s="1"/>
  <c r="BN244" i="1" s="1"/>
  <c r="BP243" i="1" s="1"/>
  <c r="BR242" i="1" s="1"/>
  <c r="AM155" i="1"/>
  <c r="AM191" i="1"/>
  <c r="AM121" i="1"/>
  <c r="AE183" i="1" l="1"/>
  <c r="AA177" i="1"/>
  <c r="Y178" i="1" s="1"/>
  <c r="AA175" i="1"/>
  <c r="Y140" i="1"/>
  <c r="Y138" i="1"/>
  <c r="AC144" i="1"/>
  <c r="AG150" i="1"/>
  <c r="AG148" i="1"/>
  <c r="AK156" i="1"/>
  <c r="AI153" i="1"/>
  <c r="AG152" i="1" s="1"/>
  <c r="AI187" i="1"/>
  <c r="AK190" i="1"/>
  <c r="BR315" i="1"/>
  <c r="BR386" i="1"/>
  <c r="AP258" i="1"/>
  <c r="AR257" i="1" s="1"/>
  <c r="AT256" i="1" s="1"/>
  <c r="AV255" i="1" s="1"/>
  <c r="AX254" i="1" s="1"/>
  <c r="AZ253" i="1" s="1"/>
  <c r="BB252" i="1" s="1"/>
  <c r="BD251" i="1" s="1"/>
  <c r="BF250" i="1" s="1"/>
  <c r="BH249" i="1" s="1"/>
  <c r="BJ248" i="1" s="1"/>
  <c r="BL247" i="1" s="1"/>
  <c r="BN246" i="1" s="1"/>
  <c r="BP245" i="1" s="1"/>
  <c r="AP260" i="1"/>
  <c r="AM157" i="1"/>
  <c r="AK158" i="1" s="1"/>
  <c r="AM193" i="1"/>
  <c r="AK194" i="1" s="1"/>
  <c r="AI157" i="1" l="1"/>
  <c r="AI155" i="1"/>
  <c r="AG156" i="1" s="1"/>
  <c r="AK192" i="1"/>
  <c r="AI193" i="1" s="1"/>
  <c r="W139" i="1"/>
  <c r="W137" i="1"/>
  <c r="AE149" i="1"/>
  <c r="AE147" i="1"/>
  <c r="AE151" i="1"/>
  <c r="Y176" i="1"/>
  <c r="W177" i="1" s="1"/>
  <c r="Y174" i="1"/>
  <c r="AG186" i="1"/>
  <c r="AA143" i="1"/>
  <c r="AI189" i="1"/>
  <c r="AG188" i="1" s="1"/>
  <c r="AC182" i="1"/>
  <c r="AG154" i="1"/>
  <c r="AE155" i="1" s="1"/>
  <c r="BR388" i="1"/>
  <c r="BR317" i="1"/>
  <c r="AR259" i="1"/>
  <c r="AT258" i="1" s="1"/>
  <c r="AV257" i="1" s="1"/>
  <c r="AX256" i="1" s="1"/>
  <c r="AZ255" i="1" s="1"/>
  <c r="BB254" i="1" s="1"/>
  <c r="BD253" i="1" s="1"/>
  <c r="BF252" i="1" s="1"/>
  <c r="BH251" i="1" s="1"/>
  <c r="BJ250" i="1" s="1"/>
  <c r="BL249" i="1" s="1"/>
  <c r="BN248" i="1" s="1"/>
  <c r="BP247" i="1" s="1"/>
  <c r="BR246" i="1" s="1"/>
  <c r="AR261" i="1"/>
  <c r="AC150" i="1" l="1"/>
  <c r="AC148" i="1"/>
  <c r="AA149" i="1" s="1"/>
  <c r="AC146" i="1"/>
  <c r="AE187" i="1"/>
  <c r="AE185" i="1"/>
  <c r="Y142" i="1"/>
  <c r="AE153" i="1"/>
  <c r="AC154" i="1" s="1"/>
  <c r="AA181" i="1"/>
  <c r="W175" i="1"/>
  <c r="U176" i="1" s="1"/>
  <c r="W173" i="1"/>
  <c r="U138" i="1"/>
  <c r="U136" i="1"/>
  <c r="S137" i="1" s="1"/>
  <c r="AI191" i="1"/>
  <c r="AG192" i="1" s="1"/>
  <c r="BR319" i="1"/>
  <c r="BR390" i="1"/>
  <c r="AT260" i="1"/>
  <c r="AV259" i="1" s="1"/>
  <c r="AX258" i="1" s="1"/>
  <c r="AZ257" i="1" s="1"/>
  <c r="BB256" i="1" s="1"/>
  <c r="BD255" i="1" s="1"/>
  <c r="BF254" i="1" s="1"/>
  <c r="BH253" i="1" s="1"/>
  <c r="BJ252" i="1" s="1"/>
  <c r="BL251" i="1" s="1"/>
  <c r="BN250" i="1" s="1"/>
  <c r="BP249" i="1" s="1"/>
  <c r="BR248" i="1" s="1"/>
  <c r="AT262" i="1"/>
  <c r="AC152" i="1" l="1"/>
  <c r="W141" i="1"/>
  <c r="U174" i="1"/>
  <c r="S175" i="1" s="1"/>
  <c r="U172" i="1"/>
  <c r="S173" i="1" s="1"/>
  <c r="Q174" i="1" s="1"/>
  <c r="AC186" i="1"/>
  <c r="AC184" i="1"/>
  <c r="Y180" i="1"/>
  <c r="AG190" i="1"/>
  <c r="AA147" i="1"/>
  <c r="Y148" i="1" s="1"/>
  <c r="AA145" i="1"/>
  <c r="BR392" i="1"/>
  <c r="BR321" i="1"/>
  <c r="AV263" i="1"/>
  <c r="AV261" i="1"/>
  <c r="AX260" i="1" s="1"/>
  <c r="AZ259" i="1" s="1"/>
  <c r="BB258" i="1" s="1"/>
  <c r="BD257" i="1" s="1"/>
  <c r="BF256" i="1" s="1"/>
  <c r="BH255" i="1" s="1"/>
  <c r="BJ254" i="1" s="1"/>
  <c r="BL253" i="1" s="1"/>
  <c r="BN252" i="1" s="1"/>
  <c r="BP251" i="1" s="1"/>
  <c r="BR250" i="1" s="1"/>
  <c r="AA153" i="1" l="1"/>
  <c r="AA151" i="1"/>
  <c r="Y146" i="1"/>
  <c r="W147" i="1" s="1"/>
  <c r="Y144" i="1"/>
  <c r="AE191" i="1"/>
  <c r="AE189" i="1"/>
  <c r="W179" i="1"/>
  <c r="U140" i="1"/>
  <c r="AA185" i="1"/>
  <c r="AA183" i="1"/>
  <c r="BR394" i="1"/>
  <c r="BR323" i="1"/>
  <c r="AX262" i="1"/>
  <c r="AZ261" i="1" s="1"/>
  <c r="BB260" i="1" s="1"/>
  <c r="BD259" i="1" s="1"/>
  <c r="BF258" i="1" s="1"/>
  <c r="BH257" i="1" s="1"/>
  <c r="BJ256" i="1" s="1"/>
  <c r="BL255" i="1" s="1"/>
  <c r="BN254" i="1" s="1"/>
  <c r="BP253" i="1" s="1"/>
  <c r="BR252" i="1" s="1"/>
  <c r="AX264" i="1"/>
  <c r="Y152" i="1" l="1"/>
  <c r="Y150" i="1"/>
  <c r="AC190" i="1"/>
  <c r="AC188" i="1"/>
  <c r="Y184" i="1"/>
  <c r="Y182" i="1"/>
  <c r="S139" i="1"/>
  <c r="W145" i="1"/>
  <c r="U146" i="1" s="1"/>
  <c r="W143" i="1"/>
  <c r="U178" i="1"/>
  <c r="BR396" i="1"/>
  <c r="BR325" i="1"/>
  <c r="AZ265" i="1"/>
  <c r="AZ263" i="1"/>
  <c r="BB262" i="1" s="1"/>
  <c r="BD261" i="1" s="1"/>
  <c r="BF260" i="1" s="1"/>
  <c r="BH259" i="1" s="1"/>
  <c r="BJ258" i="1" s="1"/>
  <c r="BL257" i="1" s="1"/>
  <c r="BN256" i="1" s="1"/>
  <c r="BP255" i="1" s="1"/>
  <c r="BR254" i="1" s="1"/>
  <c r="W151" i="1" l="1"/>
  <c r="W149" i="1"/>
  <c r="Q138" i="1"/>
  <c r="W183" i="1"/>
  <c r="W181" i="1"/>
  <c r="S177" i="1"/>
  <c r="AA189" i="1"/>
  <c r="AA187" i="1"/>
  <c r="U144" i="1"/>
  <c r="S145" i="1" s="1"/>
  <c r="U142" i="1"/>
  <c r="BR398" i="1"/>
  <c r="BR327" i="1"/>
  <c r="BB266" i="1"/>
  <c r="BB264" i="1"/>
  <c r="BD263" i="1" s="1"/>
  <c r="BF262" i="1" s="1"/>
  <c r="BH261" i="1" s="1"/>
  <c r="BJ260" i="1" s="1"/>
  <c r="BL259" i="1" s="1"/>
  <c r="BN258" i="1" s="1"/>
  <c r="BP257" i="1" s="1"/>
  <c r="BR256" i="1" s="1"/>
  <c r="U150" i="1" l="1"/>
  <c r="U148" i="1"/>
  <c r="U182" i="1"/>
  <c r="U180" i="1"/>
  <c r="S143" i="1"/>
  <c r="Q144" i="1" s="1"/>
  <c r="S141" i="1"/>
  <c r="Y188" i="1"/>
  <c r="Y186" i="1"/>
  <c r="Q176" i="1"/>
  <c r="BR400" i="1"/>
  <c r="BR329" i="1"/>
  <c r="BD267" i="1"/>
  <c r="BD265" i="1"/>
  <c r="BF264" i="1" s="1"/>
  <c r="BH263" i="1" s="1"/>
  <c r="BJ262" i="1" s="1"/>
  <c r="BL261" i="1" s="1"/>
  <c r="BN260" i="1" s="1"/>
  <c r="BP259" i="1" s="1"/>
  <c r="BR258" i="1" s="1"/>
  <c r="S149" i="1" l="1"/>
  <c r="S147" i="1"/>
  <c r="W187" i="1"/>
  <c r="W185" i="1"/>
  <c r="Q142" i="1"/>
  <c r="O143" i="1" s="1"/>
  <c r="Q140" i="1"/>
  <c r="O175" i="1"/>
  <c r="S181" i="1"/>
  <c r="S179" i="1"/>
  <c r="BR331" i="1"/>
  <c r="BR402" i="1"/>
  <c r="BF266" i="1"/>
  <c r="BH265" i="1" s="1"/>
  <c r="BJ264" i="1" s="1"/>
  <c r="BL263" i="1" s="1"/>
  <c r="BN262" i="1" s="1"/>
  <c r="BP261" i="1" s="1"/>
  <c r="BR260" i="1" s="1"/>
  <c r="BF268" i="1"/>
  <c r="Q148" i="1" l="1"/>
  <c r="Q146" i="1"/>
  <c r="Q180" i="1"/>
  <c r="Q178" i="1"/>
  <c r="O141" i="1"/>
  <c r="M142" i="1" s="1"/>
  <c r="O139" i="1"/>
  <c r="U186" i="1"/>
  <c r="U184" i="1"/>
  <c r="BR404" i="1"/>
  <c r="BR333" i="1"/>
  <c r="BH267" i="1"/>
  <c r="BJ266" i="1" s="1"/>
  <c r="BL265" i="1" s="1"/>
  <c r="BN264" i="1" s="1"/>
  <c r="BP263" i="1" s="1"/>
  <c r="BR262" i="1" s="1"/>
  <c r="BH269" i="1"/>
  <c r="M140" i="1" l="1"/>
  <c r="K141" i="1" s="1"/>
  <c r="O147" i="1"/>
  <c r="O145" i="1"/>
  <c r="S185" i="1"/>
  <c r="S183" i="1"/>
  <c r="O179" i="1"/>
  <c r="O177" i="1"/>
  <c r="BR335" i="1"/>
  <c r="BR406" i="1"/>
  <c r="BJ270" i="1"/>
  <c r="BJ268" i="1"/>
  <c r="BL267" i="1" s="1"/>
  <c r="BN266" i="1" s="1"/>
  <c r="BP265" i="1" s="1"/>
  <c r="BR264" i="1" s="1"/>
  <c r="M146" i="1" l="1"/>
  <c r="M144" i="1"/>
  <c r="M178" i="1"/>
  <c r="M176" i="1"/>
  <c r="K177" i="1" s="1"/>
  <c r="Q184" i="1"/>
  <c r="Q182" i="1"/>
  <c r="BR408" i="1"/>
  <c r="BR337" i="1"/>
  <c r="BL271" i="1"/>
  <c r="BL269" i="1"/>
  <c r="BN268" i="1" s="1"/>
  <c r="BP267" i="1" s="1"/>
  <c r="BR266" i="1" s="1"/>
  <c r="K145" i="1" l="1"/>
  <c r="K143" i="1"/>
  <c r="O183" i="1"/>
  <c r="O181" i="1"/>
  <c r="BR410" i="1"/>
  <c r="BR339" i="1"/>
  <c r="BN272" i="1"/>
  <c r="BN270" i="1"/>
  <c r="BP269" i="1" s="1"/>
  <c r="BR268" i="1" s="1"/>
  <c r="I144" i="1" l="1"/>
  <c r="I142" i="1"/>
  <c r="G143" i="1" s="1"/>
  <c r="M182" i="1"/>
  <c r="M180" i="1"/>
  <c r="BR412" i="1"/>
  <c r="BR341" i="1"/>
  <c r="BP271" i="1"/>
  <c r="BR270" i="1" s="1"/>
  <c r="BP273" i="1"/>
  <c r="K181" i="1" l="1"/>
  <c r="K179" i="1"/>
  <c r="BR414" i="1"/>
  <c r="BR343" i="1"/>
  <c r="BR272" i="1"/>
  <c r="I180" i="1" l="1"/>
  <c r="I178" i="1"/>
  <c r="G179" i="1" s="1"/>
  <c r="BR416" i="1"/>
  <c r="BR3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<sst xmlns="http://schemas.openxmlformats.org/spreadsheetml/2006/main" count="2605" uniqueCount="772">
  <si>
    <t>S0 =</t>
  </si>
  <si>
    <t xml:space="preserve">r = </t>
  </si>
  <si>
    <t>T =</t>
  </si>
  <si>
    <t xml:space="preserve">d = </t>
  </si>
  <si>
    <t xml:space="preserve">u = </t>
  </si>
  <si>
    <t>sigma =</t>
  </si>
  <si>
    <t>K =</t>
  </si>
  <si>
    <t>Realisation of the Enel security at time 1</t>
  </si>
  <si>
    <t>1°</t>
  </si>
  <si>
    <t>2°</t>
  </si>
  <si>
    <t>Cu(1)</t>
  </si>
  <si>
    <t>Cd(1)</t>
  </si>
  <si>
    <t>C(1)</t>
  </si>
  <si>
    <t>S(1)</t>
  </si>
  <si>
    <t>Su(1)</t>
  </si>
  <si>
    <t>Sd(1)</t>
  </si>
  <si>
    <t>3°</t>
  </si>
  <si>
    <t>Replication Portoflio</t>
  </si>
  <si>
    <t>∆</t>
  </si>
  <si>
    <t>B</t>
  </si>
  <si>
    <t>Realisation of the Call Option at time 1</t>
  </si>
  <si>
    <t xml:space="preserve">One-Period </t>
  </si>
  <si>
    <t>4°</t>
  </si>
  <si>
    <t>Compute the value of the Call option Today, t = 0</t>
  </si>
  <si>
    <t>C(0)</t>
  </si>
  <si>
    <t>Realistion of a risk-less security at t = 1</t>
  </si>
  <si>
    <t>B(1)</t>
  </si>
  <si>
    <t>B(0) =</t>
  </si>
  <si>
    <t>5°</t>
  </si>
  <si>
    <t>R(1)</t>
  </si>
  <si>
    <t>Payoff of the replicating portfolio at time t = 1</t>
  </si>
  <si>
    <r>
      <t xml:space="preserve">Values of </t>
    </r>
    <r>
      <rPr>
        <b/>
        <sz val="12"/>
        <color theme="1"/>
        <rFont val="Calibri"/>
        <family val="2"/>
        <scheme val="minor"/>
      </rPr>
      <t>∆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B</t>
    </r>
  </si>
  <si>
    <t>∆*S(0) + B*B(0)</t>
  </si>
  <si>
    <t>using the discounted value of the linear combination between Cu(1) and Cd(1)</t>
  </si>
  <si>
    <t>RISK - PROBABILITY MEASURE</t>
  </si>
  <si>
    <t>Short Pos.</t>
  </si>
  <si>
    <t>Long Pos.</t>
  </si>
  <si>
    <r>
      <rPr>
        <b/>
        <sz val="10"/>
        <color theme="1"/>
        <rFont val="Calibri (Body)"/>
      </rPr>
      <t>∏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and</t>
    </r>
    <r>
      <rPr>
        <b/>
        <sz val="12"/>
        <color theme="1"/>
        <rFont val="Calibri"/>
        <family val="2"/>
        <scheme val="minor"/>
      </rPr>
      <t xml:space="preserve"> 1-</t>
    </r>
    <r>
      <rPr>
        <b/>
        <sz val="11"/>
        <color theme="1"/>
        <rFont val="Calibri (Body)"/>
      </rPr>
      <t>∏</t>
    </r>
  </si>
  <si>
    <t>∏</t>
  </si>
  <si>
    <t>∏ = [(1 + r)T -d] / (u - d) --&gt; Prob. Of UP scenario</t>
  </si>
  <si>
    <t>1 - ∏ = [u - (1 + r)T] /(u - d) --&gt; Prob. Of DOWN scenario</t>
  </si>
  <si>
    <t>1 - ∏</t>
  </si>
  <si>
    <t>S(0)*(1+r) = Su(1) * ∏ + Sd(1) * (1-∏)</t>
  </si>
  <si>
    <t>This means that the model is neutral with respect to the risk --&gt; the decision maker is indifferent to the choice between the 2 situations for investment (the risk less one and the risky one)</t>
  </si>
  <si>
    <t xml:space="preserve">Two-Period </t>
  </si>
  <si>
    <t>we divide the period into 2 intervals of the same length</t>
  </si>
  <si>
    <r>
      <t xml:space="preserve">(1+r) = (1+r)^k --&gt; k = 2 --&gt; </t>
    </r>
    <r>
      <rPr>
        <b/>
        <sz val="12"/>
        <color theme="1"/>
        <rFont val="Calibri"/>
        <family val="2"/>
        <scheme val="minor"/>
      </rPr>
      <t>r2 = (1+r)^(1/2) -1 =</t>
    </r>
  </si>
  <si>
    <t>We suppose that u and d are costant for each period</t>
  </si>
  <si>
    <t>S(0)</t>
  </si>
  <si>
    <t>S(1)0 = S(0) * u</t>
  </si>
  <si>
    <t>S(1)1 = S(0) * d</t>
  </si>
  <si>
    <t>S(2)0 = S(1)0*u</t>
  </si>
  <si>
    <t>S(2)1 = S(1)0*d</t>
  </si>
  <si>
    <t>S(2)2 = S(1)1*d</t>
  </si>
  <si>
    <t xml:space="preserve">Compute the binomial model for the Risky Security </t>
  </si>
  <si>
    <t xml:space="preserve">∏ </t>
  </si>
  <si>
    <t>∏^2</t>
  </si>
  <si>
    <t>(1 - ∏)^2</t>
  </si>
  <si>
    <t>2∏ * (1 - ∏)</t>
  </si>
  <si>
    <t>P(2)0 =</t>
  </si>
  <si>
    <t>P(2)1 =</t>
  </si>
  <si>
    <t>P(2)2 =</t>
  </si>
  <si>
    <t>Build the Binomial Model with 2 period for the Call Option</t>
  </si>
  <si>
    <t>1 - For each number of down movement, we compute P(2):</t>
  </si>
  <si>
    <t>P(1)0 =</t>
  </si>
  <si>
    <t>P(1)1 =</t>
  </si>
  <si>
    <t>2 - Using the Backward induction --&gt; we obtain the pass values of C by discounted the convex linear combination using the up and down value of the next time, using the risk neutral probabilities, compute P(1) for any number of down.</t>
  </si>
  <si>
    <t>P(0) =</t>
  </si>
  <si>
    <t>C(0) =</t>
  </si>
  <si>
    <t>C(1)0 =</t>
  </si>
  <si>
    <t>C(1)1 =</t>
  </si>
  <si>
    <t>C(2)0 =</t>
  </si>
  <si>
    <t>C(2)1 =</t>
  </si>
  <si>
    <t>C(2)2 =</t>
  </si>
  <si>
    <t>Build the Binomial Model with 2 period for the Put Option</t>
  </si>
  <si>
    <t xml:space="preserve">Four-Period </t>
  </si>
  <si>
    <t>we divide the period into 4 intervals of the same length</t>
  </si>
  <si>
    <r>
      <t xml:space="preserve">(1+r) = (1+r)^k --&gt; k = 2 --&gt; </t>
    </r>
    <r>
      <rPr>
        <b/>
        <sz val="12"/>
        <color theme="1"/>
        <rFont val="Calibri"/>
        <family val="2"/>
        <scheme val="minor"/>
      </rPr>
      <t>r4 = (1+r)^(1/4) -1 =</t>
    </r>
  </si>
  <si>
    <t>S(3)0</t>
  </si>
  <si>
    <t>S(3)1</t>
  </si>
  <si>
    <t>S(3)2</t>
  </si>
  <si>
    <t>S(3)3</t>
  </si>
  <si>
    <t>S(4)0</t>
  </si>
  <si>
    <t>S(4)1</t>
  </si>
  <si>
    <t>S(4)2</t>
  </si>
  <si>
    <t>S(4)3</t>
  </si>
  <si>
    <t>S(4)4</t>
  </si>
  <si>
    <t>C(2)3 =</t>
  </si>
  <si>
    <t>C(2)4 =</t>
  </si>
  <si>
    <t>P(2)3 =</t>
  </si>
  <si>
    <t>P(2)4 =</t>
  </si>
  <si>
    <t>Verify the Put-Call Parity at t = 1, in each scenario</t>
  </si>
  <si>
    <t xml:space="preserve">Eight-Period </t>
  </si>
  <si>
    <t>In this case we have to find the continuos interest rate</t>
  </si>
  <si>
    <r>
      <t xml:space="preserve">For the Black-Scholes's model --&gt; </t>
    </r>
    <r>
      <rPr>
        <b/>
        <sz val="12"/>
        <color theme="1"/>
        <rFont val="Calibri"/>
        <family val="2"/>
        <scheme val="minor"/>
      </rPr>
      <t>p = r - sigma^2 / 2</t>
    </r>
    <r>
      <rPr>
        <sz val="12"/>
        <color theme="1"/>
        <rFont val="Calibri"/>
        <family val="2"/>
        <scheme val="minor"/>
      </rPr>
      <t xml:space="preserve"> =</t>
    </r>
  </si>
  <si>
    <t>S(5)0</t>
  </si>
  <si>
    <t>S(5)1</t>
  </si>
  <si>
    <t>S(5)2</t>
  </si>
  <si>
    <t>S(5)3</t>
  </si>
  <si>
    <t>S(4)5</t>
  </si>
  <si>
    <t>S(5)4</t>
  </si>
  <si>
    <t>S(6)0</t>
  </si>
  <si>
    <t>S(6)1</t>
  </si>
  <si>
    <t>S(6)2</t>
  </si>
  <si>
    <t>S(6)3</t>
  </si>
  <si>
    <t>S(6)4</t>
  </si>
  <si>
    <t>S(6)5</t>
  </si>
  <si>
    <t>S(6)6</t>
  </si>
  <si>
    <t>S(7)0</t>
  </si>
  <si>
    <t>S(7)1</t>
  </si>
  <si>
    <t>S(7)2</t>
  </si>
  <si>
    <t>S(7)3</t>
  </si>
  <si>
    <t>S(7)4</t>
  </si>
  <si>
    <t>S(7)5</t>
  </si>
  <si>
    <t>S(7)6</t>
  </si>
  <si>
    <t>S(7)7</t>
  </si>
  <si>
    <t>S(8)0</t>
  </si>
  <si>
    <t>S(8)1</t>
  </si>
  <si>
    <t>S(8)2</t>
  </si>
  <si>
    <t>S(8)3</t>
  </si>
  <si>
    <t>S(8)4</t>
  </si>
  <si>
    <t>S(8)5</t>
  </si>
  <si>
    <t>S(8)6</t>
  </si>
  <si>
    <t>S(8)7</t>
  </si>
  <si>
    <t>S(8)8</t>
  </si>
  <si>
    <t xml:space="preserve">sixteen-Period </t>
  </si>
  <si>
    <t>u =</t>
  </si>
  <si>
    <t>d =</t>
  </si>
  <si>
    <t xml:space="preserve">p = </t>
  </si>
  <si>
    <t xml:space="preserve">thirtytwo-Period </t>
  </si>
  <si>
    <t>S(9)0</t>
  </si>
  <si>
    <t>S(9)1</t>
  </si>
  <si>
    <t>S(9)2</t>
  </si>
  <si>
    <t>S(9)3</t>
  </si>
  <si>
    <t>S(9)4</t>
  </si>
  <si>
    <t>S(9)5</t>
  </si>
  <si>
    <t>S(9)6</t>
  </si>
  <si>
    <t>S(9)7</t>
  </si>
  <si>
    <t>S(9)8</t>
  </si>
  <si>
    <t>S(9)9</t>
  </si>
  <si>
    <t>S(10)0</t>
  </si>
  <si>
    <t>S(10)1</t>
  </si>
  <si>
    <t>S(10)2</t>
  </si>
  <si>
    <t>S(10)3</t>
  </si>
  <si>
    <t>S(10)4</t>
  </si>
  <si>
    <t>S(10)5</t>
  </si>
  <si>
    <t>S(10)6</t>
  </si>
  <si>
    <t>S(10)7</t>
  </si>
  <si>
    <t>S(10)8</t>
  </si>
  <si>
    <t>S(10)9</t>
  </si>
  <si>
    <t>S(10)10</t>
  </si>
  <si>
    <t>S(11)0</t>
  </si>
  <si>
    <t>S(11)1</t>
  </si>
  <si>
    <t>S(11)2</t>
  </si>
  <si>
    <t>S(11)3</t>
  </si>
  <si>
    <t>S(11)4</t>
  </si>
  <si>
    <t>S(11)5</t>
  </si>
  <si>
    <t>S(11)6</t>
  </si>
  <si>
    <t>S(11)7</t>
  </si>
  <si>
    <t>S(11)8</t>
  </si>
  <si>
    <t>S(11)9</t>
  </si>
  <si>
    <t>S(11)10</t>
  </si>
  <si>
    <t>S(11)11</t>
  </si>
  <si>
    <t>S(12)0</t>
  </si>
  <si>
    <t>S(12)1</t>
  </si>
  <si>
    <t>S(12)2</t>
  </si>
  <si>
    <t>S(12)3</t>
  </si>
  <si>
    <t>S(12)4</t>
  </si>
  <si>
    <t>S(12)5</t>
  </si>
  <si>
    <t>S(12)6</t>
  </si>
  <si>
    <t>S(12)7</t>
  </si>
  <si>
    <t>S(12)8</t>
  </si>
  <si>
    <t>S(12)9</t>
  </si>
  <si>
    <t>S(12)10</t>
  </si>
  <si>
    <t>S(12)11</t>
  </si>
  <si>
    <t>S(12)12</t>
  </si>
  <si>
    <t>S(13)0</t>
  </si>
  <si>
    <t>S(13)1</t>
  </si>
  <si>
    <t>S(13)2</t>
  </si>
  <si>
    <t>S(13)3</t>
  </si>
  <si>
    <t>S(13)4</t>
  </si>
  <si>
    <t>S(13)5</t>
  </si>
  <si>
    <t>S(13)6</t>
  </si>
  <si>
    <t>S(13)7</t>
  </si>
  <si>
    <t>S(13)8</t>
  </si>
  <si>
    <t>S(13)9</t>
  </si>
  <si>
    <t>S(13)10</t>
  </si>
  <si>
    <t>S(13)11</t>
  </si>
  <si>
    <t>S(13)12</t>
  </si>
  <si>
    <t>S(13)13</t>
  </si>
  <si>
    <t>S(14)0</t>
  </si>
  <si>
    <t>S(14)1</t>
  </si>
  <si>
    <t>S(14)2</t>
  </si>
  <si>
    <t>S(14)3</t>
  </si>
  <si>
    <t>S(14)4</t>
  </si>
  <si>
    <t>S(14)5</t>
  </si>
  <si>
    <t>S(14)6</t>
  </si>
  <si>
    <t>S(14)7</t>
  </si>
  <si>
    <t>S(14)8</t>
  </si>
  <si>
    <t>S(14)9</t>
  </si>
  <si>
    <t>S(14)10</t>
  </si>
  <si>
    <t>S(14)11</t>
  </si>
  <si>
    <t>S(14)12</t>
  </si>
  <si>
    <t>S(14)13</t>
  </si>
  <si>
    <t>S(14)14</t>
  </si>
  <si>
    <t>S(15)0</t>
  </si>
  <si>
    <t>S(15)1</t>
  </si>
  <si>
    <t>S(15)2</t>
  </si>
  <si>
    <t>S(15)3</t>
  </si>
  <si>
    <t>S(15)4</t>
  </si>
  <si>
    <t>S(15)5</t>
  </si>
  <si>
    <t>S(15)6</t>
  </si>
  <si>
    <t>S(15)7</t>
  </si>
  <si>
    <t>S(15)8</t>
  </si>
  <si>
    <t>S(15)9</t>
  </si>
  <si>
    <t>S(15)10</t>
  </si>
  <si>
    <t>S(15)11</t>
  </si>
  <si>
    <t>S(15)12</t>
  </si>
  <si>
    <t>S(15)13</t>
  </si>
  <si>
    <t>S(15)14</t>
  </si>
  <si>
    <t>S(15)15</t>
  </si>
  <si>
    <t>S(16)0</t>
  </si>
  <si>
    <t>S(16)1</t>
  </si>
  <si>
    <t>S(16)2</t>
  </si>
  <si>
    <t>S(16)3</t>
  </si>
  <si>
    <t>S(16)4</t>
  </si>
  <si>
    <t>S(16)5</t>
  </si>
  <si>
    <t>S(16)6</t>
  </si>
  <si>
    <t>S(16)7</t>
  </si>
  <si>
    <t>S(16)8</t>
  </si>
  <si>
    <t>S(16)9</t>
  </si>
  <si>
    <t>S(16)10</t>
  </si>
  <si>
    <t>S(16)11</t>
  </si>
  <si>
    <t>S(16)12</t>
  </si>
  <si>
    <t>S(16)13</t>
  </si>
  <si>
    <t>S(16)14</t>
  </si>
  <si>
    <t>S(16)15</t>
  </si>
  <si>
    <t>S(16)16</t>
  </si>
  <si>
    <t>∏ =</t>
  </si>
  <si>
    <t>1 - ∏ =</t>
  </si>
  <si>
    <t xml:space="preserve">C0 </t>
  </si>
  <si>
    <t>C1</t>
  </si>
  <si>
    <t>C</t>
  </si>
  <si>
    <t>C2</t>
  </si>
  <si>
    <t>C4</t>
  </si>
  <si>
    <t>C5</t>
  </si>
  <si>
    <t>C6</t>
  </si>
  <si>
    <t>C7</t>
  </si>
  <si>
    <t>C8</t>
  </si>
  <si>
    <t>T = 1</t>
  </si>
  <si>
    <t>T = 0</t>
  </si>
  <si>
    <t>T = 1/8</t>
  </si>
  <si>
    <t>T = 2/8</t>
  </si>
  <si>
    <t>T = 3/8</t>
  </si>
  <si>
    <t>T = 4/8</t>
  </si>
  <si>
    <t>T = 5/8</t>
  </si>
  <si>
    <t>T = 6/8</t>
  </si>
  <si>
    <t>T = 7/8</t>
  </si>
  <si>
    <t>C9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</si>
  <si>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</si>
  <si>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</si>
  <si>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</si>
  <si>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</si>
  <si>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</si>
  <si>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</si>
  <si>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</si>
  <si>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</si>
  <si>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</si>
  <si>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</t>
  </si>
  <si>
    <t>T = 1 / 16</t>
  </si>
  <si>
    <t>T = 2 / 16</t>
  </si>
  <si>
    <t>T = 3 / 16</t>
  </si>
  <si>
    <t>T = 4 / 16</t>
  </si>
  <si>
    <t>T = 5 / 16</t>
  </si>
  <si>
    <t>T = 6 / 16</t>
  </si>
  <si>
    <t>T = 7 / 16</t>
  </si>
  <si>
    <t>T = 8 / 16</t>
  </si>
  <si>
    <t>T = 9 / 16</t>
  </si>
  <si>
    <t>T = 10 / 16</t>
  </si>
  <si>
    <t>T = 11 / 16</t>
  </si>
  <si>
    <t>T = 12 / 16</t>
  </si>
  <si>
    <t>T = 13 / 16</t>
  </si>
  <si>
    <t>T = 14 / 16</t>
  </si>
  <si>
    <t>T = 15 / 16</t>
  </si>
  <si>
    <t>C0</t>
  </si>
  <si>
    <t>C3</t>
  </si>
  <si>
    <t>C10</t>
  </si>
  <si>
    <t>C11</t>
  </si>
  <si>
    <t>C12</t>
  </si>
  <si>
    <t>C13</t>
  </si>
  <si>
    <t>C14</t>
  </si>
  <si>
    <t>C15</t>
  </si>
  <si>
    <t>C16</t>
  </si>
  <si>
    <t>P9</t>
  </si>
  <si>
    <t>P10</t>
  </si>
  <si>
    <t>P11</t>
  </si>
  <si>
    <t>P12</t>
  </si>
  <si>
    <t>P13</t>
  </si>
  <si>
    <t>P14</t>
  </si>
  <si>
    <t>P15</t>
  </si>
  <si>
    <t>P16</t>
  </si>
  <si>
    <t>T = 1/32</t>
  </si>
  <si>
    <t>T = 2/ 32</t>
  </si>
  <si>
    <t>T = 3/ 32</t>
  </si>
  <si>
    <t>T = 4/ 32</t>
  </si>
  <si>
    <t>T = 5/ 32</t>
  </si>
  <si>
    <t>T = 6/ 32</t>
  </si>
  <si>
    <t>T = 7/ 32</t>
  </si>
  <si>
    <t>T = 8/ 32</t>
  </si>
  <si>
    <t>T = 9/ 32</t>
  </si>
  <si>
    <t>T = 10/ 32</t>
  </si>
  <si>
    <t>T = 11/ 32</t>
  </si>
  <si>
    <t>T = 12/ 32</t>
  </si>
  <si>
    <t>T = 13/ 32</t>
  </si>
  <si>
    <t>T = 14/ 32</t>
  </si>
  <si>
    <t>T = 15/ 32</t>
  </si>
  <si>
    <t>T = 16/ 32</t>
  </si>
  <si>
    <t>T = 17/ 32</t>
  </si>
  <si>
    <t>T = 18/ 32</t>
  </si>
  <si>
    <t>T = 19/ 32</t>
  </si>
  <si>
    <t>T = 20/ 32</t>
  </si>
  <si>
    <t>T = 21/ 32</t>
  </si>
  <si>
    <t>T = 22/ 32</t>
  </si>
  <si>
    <t>T = 23/ 32</t>
  </si>
  <si>
    <t>T = 24/ 32</t>
  </si>
  <si>
    <t>T = 25/ 32</t>
  </si>
  <si>
    <t>T = 26/ 32</t>
  </si>
  <si>
    <t>T = 27/ 32</t>
  </si>
  <si>
    <t>T = 28/ 32</t>
  </si>
  <si>
    <t>T = 29/ 32</t>
  </si>
  <si>
    <t>T = 30/ 32</t>
  </si>
  <si>
    <t>T = 31/ 32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</si>
  <si>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</si>
  <si>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</si>
  <si>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</si>
  <si>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</si>
  <si>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</si>
  <si>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</si>
  <si>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</si>
  <si>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</si>
  <si>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</si>
  <si>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</si>
  <si>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</si>
  <si>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</si>
  <si>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</si>
  <si>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</si>
  <si>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</si>
  <si>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</si>
  <si>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</si>
  <si>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</si>
  <si>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</si>
  <si>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</si>
  <si>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</si>
  <si>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</si>
  <si>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</si>
  <si>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</si>
  <si>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</si>
  <si>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</si>
  <si>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</si>
  <si>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</si>
  <si>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</si>
  <si>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</si>
  <si>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</si>
  <si>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</si>
  <si>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S(32)0</t>
  </si>
  <si>
    <t>S(32)1</t>
  </si>
  <si>
    <t>S(32)2</t>
  </si>
  <si>
    <t>S(32)3</t>
  </si>
  <si>
    <t>S(32)4</t>
  </si>
  <si>
    <t>S(32)5</t>
  </si>
  <si>
    <t>S(32)6</t>
  </si>
  <si>
    <t>S(32)7</t>
  </si>
  <si>
    <t>S(32)8</t>
  </si>
  <si>
    <t>S(32)9</t>
  </si>
  <si>
    <t>S(32)10</t>
  </si>
  <si>
    <t>S(32)11</t>
  </si>
  <si>
    <t>S(32)12</t>
  </si>
  <si>
    <t>S(32)13</t>
  </si>
  <si>
    <t>S(32)14</t>
  </si>
  <si>
    <t>S(32)15</t>
  </si>
  <si>
    <t>S(32)16</t>
  </si>
  <si>
    <t>S(32)17</t>
  </si>
  <si>
    <t>S(32)18</t>
  </si>
  <si>
    <t>S(32)19</t>
  </si>
  <si>
    <t>S(32)20</t>
  </si>
  <si>
    <t>S(32)21</t>
  </si>
  <si>
    <t>S(32)22</t>
  </si>
  <si>
    <t>S(32)23</t>
  </si>
  <si>
    <t>S(32)24</t>
  </si>
  <si>
    <t>S(32)25</t>
  </si>
  <si>
    <t>S(32)26</t>
  </si>
  <si>
    <t>S(32)27</t>
  </si>
  <si>
    <t>S(32)28</t>
  </si>
  <si>
    <t>S(32)29</t>
  </si>
  <si>
    <t>S(32)30</t>
  </si>
  <si>
    <t>S(32)31</t>
  </si>
  <si>
    <t>S(32)32</t>
  </si>
  <si>
    <t>S(31)0</t>
  </si>
  <si>
    <t>S(31)1</t>
  </si>
  <si>
    <t>S(31)2</t>
  </si>
  <si>
    <t>S(31)3</t>
  </si>
  <si>
    <t>S(31)4</t>
  </si>
  <si>
    <t>S(31)5</t>
  </si>
  <si>
    <t>S(31)6</t>
  </si>
  <si>
    <t>S(31)7</t>
  </si>
  <si>
    <t>S(31)8</t>
  </si>
  <si>
    <t>S(31)9</t>
  </si>
  <si>
    <t>S(31)10</t>
  </si>
  <si>
    <t>S(31)11</t>
  </si>
  <si>
    <t>S(31)12</t>
  </si>
  <si>
    <t>S(31)13</t>
  </si>
  <si>
    <t>S(31)14</t>
  </si>
  <si>
    <t>S(31)15</t>
  </si>
  <si>
    <t>S(31)16</t>
  </si>
  <si>
    <t>S(31)17</t>
  </si>
  <si>
    <t>S(31)18</t>
  </si>
  <si>
    <t>S(31)19</t>
  </si>
  <si>
    <t>S(31)20</t>
  </si>
  <si>
    <t>S(31)21</t>
  </si>
  <si>
    <t>S(31)22</t>
  </si>
  <si>
    <t>S(31)23</t>
  </si>
  <si>
    <t>S(31)24</t>
  </si>
  <si>
    <t>S(31)25</t>
  </si>
  <si>
    <t>S(31)26</t>
  </si>
  <si>
    <t>S(31)27</t>
  </si>
  <si>
    <t>S(31)28</t>
  </si>
  <si>
    <t>S(31)29</t>
  </si>
  <si>
    <t>S(31)30</t>
  </si>
  <si>
    <t>S(31)31</t>
  </si>
  <si>
    <t>S(30)0</t>
  </si>
  <si>
    <t>S(30)1</t>
  </si>
  <si>
    <t>S(30)2</t>
  </si>
  <si>
    <t>S(30)3</t>
  </si>
  <si>
    <t>S(30)4</t>
  </si>
  <si>
    <t>S(30)5</t>
  </si>
  <si>
    <t>S(30)6</t>
  </si>
  <si>
    <t>S(30)7</t>
  </si>
  <si>
    <t>S(30)8</t>
  </si>
  <si>
    <t>S(30)9</t>
  </si>
  <si>
    <t>S(30)10</t>
  </si>
  <si>
    <t>S(30)11</t>
  </si>
  <si>
    <t>S(30)12</t>
  </si>
  <si>
    <t>S(30)13</t>
  </si>
  <si>
    <t>S(30)14</t>
  </si>
  <si>
    <t>S(30)15</t>
  </si>
  <si>
    <t>S(30)16</t>
  </si>
  <si>
    <t>S(30)17</t>
  </si>
  <si>
    <t>S(30)18</t>
  </si>
  <si>
    <t>S(30)19</t>
  </si>
  <si>
    <t>S(30)20</t>
  </si>
  <si>
    <t>S(30)21</t>
  </si>
  <si>
    <t>S(30)22</t>
  </si>
  <si>
    <t>S(30)23</t>
  </si>
  <si>
    <t>S(30)24</t>
  </si>
  <si>
    <t>S(30)25</t>
  </si>
  <si>
    <t>S(30)26</t>
  </si>
  <si>
    <t>S(30)27</t>
  </si>
  <si>
    <t>S(30)28</t>
  </si>
  <si>
    <t>S(30)29</t>
  </si>
  <si>
    <t>S(30)30</t>
  </si>
  <si>
    <t>S(29)0</t>
  </si>
  <si>
    <t>S(29)1</t>
  </si>
  <si>
    <t>S(29)2</t>
  </si>
  <si>
    <t>S(29)3</t>
  </si>
  <si>
    <t>S(29)4</t>
  </si>
  <si>
    <t>S(29)5</t>
  </si>
  <si>
    <t>S(29)6</t>
  </si>
  <si>
    <t>S(29)7</t>
  </si>
  <si>
    <t>S(29)8</t>
  </si>
  <si>
    <t>S(29)9</t>
  </si>
  <si>
    <t>S(29)10</t>
  </si>
  <si>
    <t>S(29)11</t>
  </si>
  <si>
    <t>S(29)12</t>
  </si>
  <si>
    <t>S(29)13</t>
  </si>
  <si>
    <t>S(29)14</t>
  </si>
  <si>
    <t>S(29)15</t>
  </si>
  <si>
    <t>S(29)16</t>
  </si>
  <si>
    <t>S(29)17</t>
  </si>
  <si>
    <t>S(29)18</t>
  </si>
  <si>
    <t>S(29)19</t>
  </si>
  <si>
    <t>S(29)20</t>
  </si>
  <si>
    <t>S(29)21</t>
  </si>
  <si>
    <t>S(29)22</t>
  </si>
  <si>
    <t>S(29)23</t>
  </si>
  <si>
    <t>S(29)24</t>
  </si>
  <si>
    <t>S(29)25</t>
  </si>
  <si>
    <t>S(29)26</t>
  </si>
  <si>
    <t>S(29)27</t>
  </si>
  <si>
    <t>S(29)28</t>
  </si>
  <si>
    <t>S(29)29</t>
  </si>
  <si>
    <t>S(28)0</t>
  </si>
  <si>
    <t>S(28)1</t>
  </si>
  <si>
    <t>S(28)2</t>
  </si>
  <si>
    <t>S(28)3</t>
  </si>
  <si>
    <t>S(28)4</t>
  </si>
  <si>
    <t>S(28)5</t>
  </si>
  <si>
    <t>S(28)6</t>
  </si>
  <si>
    <t>S(28)7</t>
  </si>
  <si>
    <t>S(28)8</t>
  </si>
  <si>
    <t>S(28)9</t>
  </si>
  <si>
    <t>S(28)10</t>
  </si>
  <si>
    <t>S(28)11</t>
  </si>
  <si>
    <t>S(28)12</t>
  </si>
  <si>
    <t>S(28)13</t>
  </si>
  <si>
    <t>S(28)14</t>
  </si>
  <si>
    <t>S(28)15</t>
  </si>
  <si>
    <t>S(28)16</t>
  </si>
  <si>
    <t>S(28)17</t>
  </si>
  <si>
    <t>S(28)18</t>
  </si>
  <si>
    <t>S(28)19</t>
  </si>
  <si>
    <t>S(28)20</t>
  </si>
  <si>
    <t>S(28)21</t>
  </si>
  <si>
    <t>S(28)22</t>
  </si>
  <si>
    <t>S(28)23</t>
  </si>
  <si>
    <t>S(28)24</t>
  </si>
  <si>
    <t>S(28)25</t>
  </si>
  <si>
    <t>S(28)26</t>
  </si>
  <si>
    <t>S(28)27</t>
  </si>
  <si>
    <t>S(28)28</t>
  </si>
  <si>
    <t>S(27)0</t>
  </si>
  <si>
    <t>S(27)1</t>
  </si>
  <si>
    <t>S(27)2</t>
  </si>
  <si>
    <t>S(27)3</t>
  </si>
  <si>
    <t>S(27)4</t>
  </si>
  <si>
    <t>S(27)5</t>
  </si>
  <si>
    <t>S(27)6</t>
  </si>
  <si>
    <t>S(27)7</t>
  </si>
  <si>
    <t>S(27)8</t>
  </si>
  <si>
    <t>S(27)9</t>
  </si>
  <si>
    <t>S(27)10</t>
  </si>
  <si>
    <t>S(27)11</t>
  </si>
  <si>
    <t>S(27)12</t>
  </si>
  <si>
    <t>S(27)13</t>
  </si>
  <si>
    <t>S(27)14</t>
  </si>
  <si>
    <t>S(27)15</t>
  </si>
  <si>
    <t>S(27)16</t>
  </si>
  <si>
    <t>S(27)17</t>
  </si>
  <si>
    <t>S(27)18</t>
  </si>
  <si>
    <t>S(27)19</t>
  </si>
  <si>
    <t>S(27)20</t>
  </si>
  <si>
    <t>S(27)21</t>
  </si>
  <si>
    <t>S(27)22</t>
  </si>
  <si>
    <t>S(27)23</t>
  </si>
  <si>
    <t>S(27)24</t>
  </si>
  <si>
    <t>S(27)25</t>
  </si>
  <si>
    <t>S(27)26</t>
  </si>
  <si>
    <t>S(27)27</t>
  </si>
  <si>
    <t>S(26)0</t>
  </si>
  <si>
    <t>S(26)1</t>
  </si>
  <si>
    <t>S(26)2</t>
  </si>
  <si>
    <t>S(26)3</t>
  </si>
  <si>
    <t>S(26)4</t>
  </si>
  <si>
    <t>S(26)5</t>
  </si>
  <si>
    <t>S(26)6</t>
  </si>
  <si>
    <t>S(26)7</t>
  </si>
  <si>
    <t>S(26)8</t>
  </si>
  <si>
    <t>S(26)9</t>
  </si>
  <si>
    <t>S(26)10</t>
  </si>
  <si>
    <t>S(26)11</t>
  </si>
  <si>
    <t>S(26)12</t>
  </si>
  <si>
    <t>S(26)13</t>
  </si>
  <si>
    <t>S(26)14</t>
  </si>
  <si>
    <t>S(26)15</t>
  </si>
  <si>
    <t>S(26)16</t>
  </si>
  <si>
    <t>S(26)17</t>
  </si>
  <si>
    <t>S(26)18</t>
  </si>
  <si>
    <t>S(26)19</t>
  </si>
  <si>
    <t>S(26)20</t>
  </si>
  <si>
    <t>S(26)21</t>
  </si>
  <si>
    <t>S(26)22</t>
  </si>
  <si>
    <t>S(26)23</t>
  </si>
  <si>
    <t>S(26)24</t>
  </si>
  <si>
    <t>S(26)25</t>
  </si>
  <si>
    <t>S(26)26</t>
  </si>
  <si>
    <t>S(25)0</t>
  </si>
  <si>
    <t>S(25)1</t>
  </si>
  <si>
    <t>S(25)2</t>
  </si>
  <si>
    <t>S(25)3</t>
  </si>
  <si>
    <t>S(25)4</t>
  </si>
  <si>
    <t>S(25)5</t>
  </si>
  <si>
    <t>S(25)6</t>
  </si>
  <si>
    <t>S(25)7</t>
  </si>
  <si>
    <t>S(25)8</t>
  </si>
  <si>
    <t>S(25)9</t>
  </si>
  <si>
    <t>S(25)10</t>
  </si>
  <si>
    <t>S(25)11</t>
  </si>
  <si>
    <t>S(25)12</t>
  </si>
  <si>
    <t>S(25)13</t>
  </si>
  <si>
    <t>S(25)14</t>
  </si>
  <si>
    <t>S(25)15</t>
  </si>
  <si>
    <t>S(25)16</t>
  </si>
  <si>
    <t>S(25)17</t>
  </si>
  <si>
    <t>S(25)18</t>
  </si>
  <si>
    <t>S(25)19</t>
  </si>
  <si>
    <t>S(25)20</t>
  </si>
  <si>
    <t>S(25)21</t>
  </si>
  <si>
    <t>S(25)22</t>
  </si>
  <si>
    <t>S(25)23</t>
  </si>
  <si>
    <t>S(25)24</t>
  </si>
  <si>
    <t>S(25)25</t>
  </si>
  <si>
    <t>S(24)0</t>
  </si>
  <si>
    <t>S(24)1</t>
  </si>
  <si>
    <t>S(24)2</t>
  </si>
  <si>
    <t>S(24)3</t>
  </si>
  <si>
    <t>S(24)4</t>
  </si>
  <si>
    <t>S(24)5</t>
  </si>
  <si>
    <t>S(24)6</t>
  </si>
  <si>
    <t>S(24)7</t>
  </si>
  <si>
    <t>S(24)8</t>
  </si>
  <si>
    <t>S(24)9</t>
  </si>
  <si>
    <t>S(24)10</t>
  </si>
  <si>
    <t>S(24)11</t>
  </si>
  <si>
    <t>S(24)12</t>
  </si>
  <si>
    <t>S(24)13</t>
  </si>
  <si>
    <t>S(24)14</t>
  </si>
  <si>
    <t>S(24)15</t>
  </si>
  <si>
    <t>S(24)16</t>
  </si>
  <si>
    <t>S(24)17</t>
  </si>
  <si>
    <t>S(24)18</t>
  </si>
  <si>
    <t>S(24)19</t>
  </si>
  <si>
    <t>S(24)20</t>
  </si>
  <si>
    <t>S(24)21</t>
  </si>
  <si>
    <t>S(24)22</t>
  </si>
  <si>
    <t>S(24)23</t>
  </si>
  <si>
    <t>S(24)24</t>
  </si>
  <si>
    <t>S(23)0</t>
  </si>
  <si>
    <t>S(23)1</t>
  </si>
  <si>
    <t>S(23)2</t>
  </si>
  <si>
    <t>S(23)3</t>
  </si>
  <si>
    <t>S(23)4</t>
  </si>
  <si>
    <t>S(23)5</t>
  </si>
  <si>
    <t>S(23)6</t>
  </si>
  <si>
    <t>S(23)7</t>
  </si>
  <si>
    <t>S(23)8</t>
  </si>
  <si>
    <t>S(23)9</t>
  </si>
  <si>
    <t>S(23)10</t>
  </si>
  <si>
    <t>S(23)11</t>
  </si>
  <si>
    <t>S(23)12</t>
  </si>
  <si>
    <t>S(23)13</t>
  </si>
  <si>
    <t>S(23)14</t>
  </si>
  <si>
    <t>S(23)15</t>
  </si>
  <si>
    <t>S(23)16</t>
  </si>
  <si>
    <t>S(23)17</t>
  </si>
  <si>
    <t>S(23)18</t>
  </si>
  <si>
    <t>S(23)19</t>
  </si>
  <si>
    <t>S(23)20</t>
  </si>
  <si>
    <t>S(23)21</t>
  </si>
  <si>
    <t>S(23)22</t>
  </si>
  <si>
    <t>S(23)23</t>
  </si>
  <si>
    <t>S(22)0</t>
  </si>
  <si>
    <t>S(22)1</t>
  </si>
  <si>
    <t>S(22)2</t>
  </si>
  <si>
    <t>S(22)3</t>
  </si>
  <si>
    <t>S(22)4</t>
  </si>
  <si>
    <t>S(22)5</t>
  </si>
  <si>
    <t>S(22)6</t>
  </si>
  <si>
    <t>S(22)7</t>
  </si>
  <si>
    <t>S(22)8</t>
  </si>
  <si>
    <t>S(22)9</t>
  </si>
  <si>
    <t>S(22)10</t>
  </si>
  <si>
    <t>S(22)11</t>
  </si>
  <si>
    <t>S(22)12</t>
  </si>
  <si>
    <t>S(22)13</t>
  </si>
  <si>
    <t>S(22)14</t>
  </si>
  <si>
    <t>S(22)15</t>
  </si>
  <si>
    <t>S(22)16</t>
  </si>
  <si>
    <t>S(22)17</t>
  </si>
  <si>
    <t>S(22)18</t>
  </si>
  <si>
    <t>S(22)19</t>
  </si>
  <si>
    <t>S(22)20</t>
  </si>
  <si>
    <t>S(22)21</t>
  </si>
  <si>
    <t>S(22)22</t>
  </si>
  <si>
    <t>S(21)0</t>
  </si>
  <si>
    <t>S(21)1</t>
  </si>
  <si>
    <t>S(21)2</t>
  </si>
  <si>
    <t>S(21)3</t>
  </si>
  <si>
    <t>S(21)4</t>
  </si>
  <si>
    <t>S(21)5</t>
  </si>
  <si>
    <t>S(21)6</t>
  </si>
  <si>
    <t>S(21)7</t>
  </si>
  <si>
    <t>S(21)8</t>
  </si>
  <si>
    <t>S(21)9</t>
  </si>
  <si>
    <t>S(21)10</t>
  </si>
  <si>
    <t>S(21)11</t>
  </si>
  <si>
    <t>S(21)12</t>
  </si>
  <si>
    <t>S(21)13</t>
  </si>
  <si>
    <t>S(21)14</t>
  </si>
  <si>
    <t>S(21)15</t>
  </si>
  <si>
    <t>S(21)16</t>
  </si>
  <si>
    <t>S(21)17</t>
  </si>
  <si>
    <t>S(21)18</t>
  </si>
  <si>
    <t>S(21)19</t>
  </si>
  <si>
    <t>S(21)20</t>
  </si>
  <si>
    <t>S(21)21</t>
  </si>
  <si>
    <t>S(20)0</t>
  </si>
  <si>
    <t>S(20)1</t>
  </si>
  <si>
    <t>S(20)2</t>
  </si>
  <si>
    <t>S(20)3</t>
  </si>
  <si>
    <t>S(20)4</t>
  </si>
  <si>
    <t>S(20)5</t>
  </si>
  <si>
    <t>S(20)6</t>
  </si>
  <si>
    <t>S(20)7</t>
  </si>
  <si>
    <t>S(20)8</t>
  </si>
  <si>
    <t>S(20)9</t>
  </si>
  <si>
    <t>S(20)10</t>
  </si>
  <si>
    <t>S(20)11</t>
  </si>
  <si>
    <t>S(20)12</t>
  </si>
  <si>
    <t>S(20)13</t>
  </si>
  <si>
    <t>S(20)14</t>
  </si>
  <si>
    <t>S(20)15</t>
  </si>
  <si>
    <t>S(20)16</t>
  </si>
  <si>
    <t>S(20)17</t>
  </si>
  <si>
    <t>S(20)18</t>
  </si>
  <si>
    <t>S(20)19</t>
  </si>
  <si>
    <t>S(20)20</t>
  </si>
  <si>
    <t>S(19)0</t>
  </si>
  <si>
    <t>S(19)1</t>
  </si>
  <si>
    <t>S(19)2</t>
  </si>
  <si>
    <t>S(19)3</t>
  </si>
  <si>
    <t>S(19)4</t>
  </si>
  <si>
    <t>S(19)5</t>
  </si>
  <si>
    <t>S(19)6</t>
  </si>
  <si>
    <t>S(19)7</t>
  </si>
  <si>
    <t>S(19)8</t>
  </si>
  <si>
    <t>S(19)9</t>
  </si>
  <si>
    <t>S(19)10</t>
  </si>
  <si>
    <t>S(19)11</t>
  </si>
  <si>
    <t>S(19)12</t>
  </si>
  <si>
    <t>S(19)13</t>
  </si>
  <si>
    <t>S(19)14</t>
  </si>
  <si>
    <t>S(19)15</t>
  </si>
  <si>
    <t>S(19)16</t>
  </si>
  <si>
    <t>S(19)17</t>
  </si>
  <si>
    <t>S(19)18</t>
  </si>
  <si>
    <t>S(19)19</t>
  </si>
  <si>
    <t>S(18)0</t>
  </si>
  <si>
    <t>S(18)1</t>
  </si>
  <si>
    <t>S(18)2</t>
  </si>
  <si>
    <t>S(18)3</t>
  </si>
  <si>
    <t>S(18)4</t>
  </si>
  <si>
    <t>S(18)5</t>
  </si>
  <si>
    <t>S(18)6</t>
  </si>
  <si>
    <t>S(18)7</t>
  </si>
  <si>
    <t>S(18)8</t>
  </si>
  <si>
    <t>S(18)9</t>
  </si>
  <si>
    <t>S(18)10</t>
  </si>
  <si>
    <t>S(18)11</t>
  </si>
  <si>
    <t>S(18)12</t>
  </si>
  <si>
    <t>S(18)13</t>
  </si>
  <si>
    <t>S(18)14</t>
  </si>
  <si>
    <t>S(18)15</t>
  </si>
  <si>
    <t>S(18)16</t>
  </si>
  <si>
    <t>S(18)17</t>
  </si>
  <si>
    <t>S(18)18</t>
  </si>
  <si>
    <t>S(17)0</t>
  </si>
  <si>
    <t>S(17)1</t>
  </si>
  <si>
    <t>S(17)2</t>
  </si>
  <si>
    <t>S(17)3</t>
  </si>
  <si>
    <t>S(17)4</t>
  </si>
  <si>
    <t>S(17)5</t>
  </si>
  <si>
    <t>S(17)6</t>
  </si>
  <si>
    <t>S(17)7</t>
  </si>
  <si>
    <t>S(17)8</t>
  </si>
  <si>
    <t>S(17)9</t>
  </si>
  <si>
    <t>S(17)10</t>
  </si>
  <si>
    <t>S(17)11</t>
  </si>
  <si>
    <t>S(17)12</t>
  </si>
  <si>
    <t>S(17)13</t>
  </si>
  <si>
    <t>S(17)14</t>
  </si>
  <si>
    <t>S(17)15</t>
  </si>
  <si>
    <t>S(17)16</t>
  </si>
  <si>
    <t>S(17)17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</si>
</sst>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%"/>
    <numFmt numFmtId="165" formatCode="0.00000"/>
    <numFmt numFmtId="166" formatCode="0.0000%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 (Body)"/>
    </font>
    <font>
      <b/>
      <sz val="11"/>
      <color theme="1"/>
      <name val="Calibri (Body)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CB9CA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10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0" fillId="3" borderId="0" xfId="0" applyFill="1"/>
    <xf numFmtId="0" fontId="2" fillId="0" borderId="0" xfId="0" applyFont="1" applyAlignment="1">
      <alignment horizontal="left"/>
    </xf>
    <xf numFmtId="164" fontId="2" fillId="0" borderId="1" xfId="0" applyNumberFormat="1" applyFont="1" applyBorder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/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6" fillId="5" borderId="1" xfId="0" applyFont="1" applyFill="1" applyBorder="1"/>
    <xf numFmtId="165" fontId="0" fillId="5" borderId="0" xfId="0" applyNumberFormat="1" applyFill="1"/>
    <xf numFmtId="0" fontId="6" fillId="5" borderId="0" xfId="0" applyFont="1" applyFill="1"/>
    <xf numFmtId="0" fontId="0" fillId="4" borderId="0" xfId="0" applyFill="1"/>
    <xf numFmtId="0" fontId="7" fillId="6" borderId="0" xfId="0" applyFont="1" applyFill="1" applyAlignment="1">
      <alignment horizontal="left"/>
    </xf>
    <xf numFmtId="0" fontId="0" fillId="2" borderId="1" xfId="0" applyFill="1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6" fontId="2" fillId="0" borderId="0" xfId="0" applyNumberFormat="1" applyFont="1"/>
    <xf numFmtId="0" fontId="0" fillId="0" borderId="0" xfId="1" applyNumberFormat="1" applyFont="1"/>
    <xf numFmtId="0" fontId="7" fillId="0" borderId="0" xfId="0" applyFont="1" applyAlignment="1">
      <alignment horizontal="left"/>
    </xf>
    <xf numFmtId="0" fontId="7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6" fillId="0" borderId="0" xfId="0" applyFont="1"/>
    <xf numFmtId="0" fontId="6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1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528B-63C5-4246-96C2-8B30BCC03699}">
  <dimension ref="A1:BU422"/>
  <sheetViews>
    <sheetView tabSelected="1" zoomScale="75" zoomScaleNormal="100" workbookViewId="0">
      <selection activeCell="R44" sqref="R44"/>
    </sheetView>
  </sheetViews>
  <sheetFormatPr baseColWidth="10" defaultRowHeight="16" x14ac:dyDescent="0.2"/>
  <cols>
    <col min="5" max="5" width="11.33203125" customWidth="1"/>
    <col min="9" max="9" width="14.6640625" customWidth="1"/>
    <col min="11" max="11" width="14.33203125" customWidth="1"/>
  </cols>
  <sheetData>
    <row r="1" spans="1:16" x14ac:dyDescent="0.2">
      <c r="A1" s="2" t="s">
        <v>6</v>
      </c>
      <c r="B1">
        <v>8.4</v>
      </c>
    </row>
    <row r="2" spans="1:16" x14ac:dyDescent="0.2">
      <c r="A2" s="2" t="s">
        <v>0</v>
      </c>
      <c r="B2">
        <v>6.55</v>
      </c>
    </row>
    <row r="3" spans="1:16" x14ac:dyDescent="0.2">
      <c r="A3" s="2" t="s">
        <v>1</v>
      </c>
      <c r="B3" s="1">
        <v>3.9260000000000003E-2</v>
      </c>
    </row>
    <row r="4" spans="1:16" x14ac:dyDescent="0.2">
      <c r="A4" s="2" t="s">
        <v>2</v>
      </c>
      <c r="B4">
        <v>1</v>
      </c>
    </row>
    <row r="5" spans="1:16" x14ac:dyDescent="0.2">
      <c r="A5" s="2" t="s">
        <v>3</v>
      </c>
      <c r="B5">
        <v>0.75</v>
      </c>
    </row>
    <row r="6" spans="1:16" x14ac:dyDescent="0.2">
      <c r="A6" s="2" t="s">
        <v>4</v>
      </c>
      <c r="B6">
        <v>1.3</v>
      </c>
    </row>
    <row r="7" spans="1:16" x14ac:dyDescent="0.2">
      <c r="A7" s="2" t="s">
        <v>5</v>
      </c>
      <c r="B7" s="1">
        <v>0.19400000000000001</v>
      </c>
    </row>
    <row r="8" spans="1:16" x14ac:dyDescent="0.2">
      <c r="A8" s="2" t="s">
        <v>27</v>
      </c>
      <c r="B8">
        <v>1</v>
      </c>
    </row>
    <row r="9" spans="1:16" x14ac:dyDescent="0.2">
      <c r="A9" s="2"/>
      <c r="B9" s="1"/>
    </row>
    <row r="10" spans="1:16" s="48" customFormat="1" x14ac:dyDescent="0.2">
      <c r="A10" s="48" t="s">
        <v>21</v>
      </c>
    </row>
    <row r="11" spans="1:16" x14ac:dyDescent="0.2">
      <c r="A11" s="2" t="s">
        <v>8</v>
      </c>
      <c r="E11" s="2" t="s">
        <v>9</v>
      </c>
      <c r="H11" s="2" t="s">
        <v>16</v>
      </c>
      <c r="I11" s="2" t="s">
        <v>17</v>
      </c>
      <c r="K11" t="s">
        <v>22</v>
      </c>
      <c r="N11" t="s">
        <v>28</v>
      </c>
    </row>
    <row r="12" spans="1:16" ht="85" x14ac:dyDescent="0.2">
      <c r="A12" s="3"/>
      <c r="B12" s="4" t="s">
        <v>7</v>
      </c>
      <c r="C12" s="4" t="s">
        <v>25</v>
      </c>
      <c r="E12" s="3"/>
      <c r="F12" s="4" t="s">
        <v>20</v>
      </c>
      <c r="I12" s="4" t="s">
        <v>31</v>
      </c>
      <c r="L12" s="9" t="s">
        <v>30</v>
      </c>
      <c r="O12" s="4" t="s">
        <v>23</v>
      </c>
    </row>
    <row r="13" spans="1:16" x14ac:dyDescent="0.2">
      <c r="A13" s="5"/>
      <c r="B13" s="6" t="s">
        <v>13</v>
      </c>
      <c r="C13" s="7" t="s">
        <v>26</v>
      </c>
      <c r="E13" s="5"/>
      <c r="F13" s="6" t="s">
        <v>12</v>
      </c>
      <c r="H13" s="7"/>
      <c r="I13" s="7"/>
      <c r="K13" s="7"/>
      <c r="L13" s="7"/>
      <c r="N13" s="7"/>
      <c r="O13" s="7"/>
    </row>
    <row r="14" spans="1:16" x14ac:dyDescent="0.2">
      <c r="A14" s="6" t="s">
        <v>14</v>
      </c>
      <c r="B14" s="6">
        <f>B2*B6</f>
        <v>8.5150000000000006</v>
      </c>
      <c r="C14" s="7">
        <f>$B$8*(1+$B$3)</f>
        <v>1.0392600000000001</v>
      </c>
      <c r="E14" s="6" t="s">
        <v>10</v>
      </c>
      <c r="F14" s="6">
        <f>MAX(B14-$B$1,0)</f>
        <v>0.11500000000000021</v>
      </c>
      <c r="H14" s="8" t="s">
        <v>18</v>
      </c>
      <c r="I14" s="7">
        <f>(F14-F15)/(B2*(B6-B5))</f>
        <v>3.1922276197085417E-2</v>
      </c>
      <c r="J14" s="2" t="s">
        <v>36</v>
      </c>
      <c r="K14" s="7" t="s">
        <v>29</v>
      </c>
      <c r="L14" s="7" cm="1">
        <f t="array" ref="L14:L15">MMULT(B14:C15,I14:I15)</f>
        <v>0.11500000000000024</v>
      </c>
      <c r="N14" s="8" t="s">
        <v>24</v>
      </c>
      <c r="O14" s="7">
        <f>I14*B2+I15*B8</f>
        <v>5.8196828862494915E-2</v>
      </c>
      <c r="P14" t="s">
        <v>32</v>
      </c>
    </row>
    <row r="15" spans="1:16" x14ac:dyDescent="0.2">
      <c r="A15" s="6" t="s">
        <v>15</v>
      </c>
      <c r="B15" s="6">
        <f>B2*B5</f>
        <v>4.9124999999999996</v>
      </c>
      <c r="C15" s="7">
        <f>$B$8*(1+$B$3)</f>
        <v>1.0392600000000001</v>
      </c>
      <c r="E15" s="6" t="s">
        <v>11</v>
      </c>
      <c r="F15" s="6">
        <f>MAX(B15-$B$1,0)</f>
        <v>0</v>
      </c>
      <c r="H15" s="8" t="s">
        <v>19</v>
      </c>
      <c r="I15" s="7">
        <f>((B6*F15-B5*F14)/(B6-B5))*1/(1+B3)</f>
        <v>-0.15089408022841455</v>
      </c>
      <c r="J15" s="2" t="s">
        <v>35</v>
      </c>
      <c r="K15" s="7"/>
      <c r="L15" s="7">
        <v>0</v>
      </c>
      <c r="N15" s="7"/>
      <c r="O15" s="7">
        <f>1/(1+B3) * (F14*((1+B3) - B5)/(B6-B5) + F15*(B6-(1+B3)) / (B6-B5))</f>
        <v>5.8196828862494929E-2</v>
      </c>
      <c r="P15" t="s">
        <v>33</v>
      </c>
    </row>
    <row r="17" spans="1:30" x14ac:dyDescent="0.2">
      <c r="A17" s="2" t="s">
        <v>34</v>
      </c>
    </row>
    <row r="18" spans="1:30" x14ac:dyDescent="0.2">
      <c r="A18" s="10" t="s">
        <v>37</v>
      </c>
      <c r="G18" s="7"/>
      <c r="H18" s="7"/>
    </row>
    <row r="19" spans="1:30" x14ac:dyDescent="0.2">
      <c r="A19" t="s">
        <v>39</v>
      </c>
      <c r="G19" s="8" t="s">
        <v>38</v>
      </c>
      <c r="H19" s="7">
        <f xml:space="preserve"> ((1+B3) - B5)/(B6-B5)</f>
        <v>0.5259272727272728</v>
      </c>
      <c r="J19" t="s">
        <v>42</v>
      </c>
    </row>
    <row r="20" spans="1:30" x14ac:dyDescent="0.2">
      <c r="A20" t="s">
        <v>40</v>
      </c>
      <c r="G20" s="8" t="s">
        <v>41</v>
      </c>
      <c r="H20" s="7">
        <f>(B6-(1+B3)) / (B6-B5)</f>
        <v>0.4740727272727272</v>
      </c>
      <c r="J20" s="11">
        <f>B2*(1+B3)</f>
        <v>6.8071530000000005</v>
      </c>
      <c r="K20" s="11">
        <f>B14*H19+B15*H20</f>
        <v>6.8071530000000005</v>
      </c>
    </row>
    <row r="21" spans="1:30" ht="16" customHeight="1" x14ac:dyDescent="0.2">
      <c r="J21" s="49" t="s">
        <v>43</v>
      </c>
      <c r="K21" s="49"/>
      <c r="L21" s="49"/>
      <c r="M21" s="49"/>
      <c r="N21" s="49"/>
      <c r="O21" s="49"/>
      <c r="P21" s="49"/>
      <c r="Q21" s="49"/>
    </row>
    <row r="22" spans="1:30" x14ac:dyDescent="0.2">
      <c r="J22" s="49"/>
      <c r="K22" s="49"/>
      <c r="L22" s="49"/>
      <c r="M22" s="49"/>
      <c r="N22" s="49"/>
      <c r="O22" s="49"/>
      <c r="P22" s="49"/>
      <c r="Q22" s="49"/>
    </row>
    <row r="24" spans="1:30" s="48" customFormat="1" x14ac:dyDescent="0.2">
      <c r="A24" s="48" t="s">
        <v>44</v>
      </c>
    </row>
    <row r="25" spans="1:30" s="12" customFormat="1" x14ac:dyDescent="0.2">
      <c r="A25" s="12" t="s">
        <v>8</v>
      </c>
      <c r="G25" s="12" t="s">
        <v>9</v>
      </c>
      <c r="O25" s="12" t="s">
        <v>16</v>
      </c>
      <c r="Y25" s="12" t="s">
        <v>22</v>
      </c>
    </row>
    <row r="26" spans="1:30" x14ac:dyDescent="0.2">
      <c r="A26" t="s">
        <v>45</v>
      </c>
      <c r="G26" t="s">
        <v>47</v>
      </c>
      <c r="O26" t="s">
        <v>62</v>
      </c>
      <c r="Y26" t="s">
        <v>74</v>
      </c>
    </row>
    <row r="27" spans="1:30" x14ac:dyDescent="0.2">
      <c r="A27" s="7" t="s">
        <v>46</v>
      </c>
      <c r="B27" s="7"/>
      <c r="C27" s="7"/>
      <c r="D27" s="7"/>
      <c r="E27" s="13">
        <f>SQRT(1+B3) -1</f>
        <v>1.9441023306399963E-2</v>
      </c>
      <c r="G27" t="s">
        <v>54</v>
      </c>
    </row>
    <row r="28" spans="1:30" x14ac:dyDescent="0.2">
      <c r="G28" s="14"/>
      <c r="I28" s="14"/>
      <c r="K28" s="15" t="s">
        <v>51</v>
      </c>
      <c r="L28" s="22">
        <f>J29*$B$30</f>
        <v>8.9594113506838067</v>
      </c>
      <c r="O28" t="s">
        <v>63</v>
      </c>
      <c r="AC28" s="22" t="s">
        <v>59</v>
      </c>
      <c r="AD28" s="22">
        <f>MAX($B$1 - L28,0)</f>
        <v>0</v>
      </c>
    </row>
    <row r="29" spans="1:30" ht="16" customHeight="1" x14ac:dyDescent="0.2">
      <c r="A29" t="s">
        <v>128</v>
      </c>
      <c r="B29" s="33">
        <f>(POWER($B$3 + 1, 1/2) - 1) / (1/2)</f>
        <v>3.8882046612799925E-2</v>
      </c>
      <c r="G29" s="14"/>
      <c r="I29" s="15" t="s">
        <v>49</v>
      </c>
      <c r="J29" s="22">
        <f>H30*$B$30</f>
        <v>7.6605577046961102</v>
      </c>
      <c r="K29" s="19" t="s">
        <v>56</v>
      </c>
      <c r="L29" s="20">
        <f>J30*J30</f>
        <v>0.21693144596390496</v>
      </c>
      <c r="O29" s="49" t="s">
        <v>66</v>
      </c>
      <c r="P29" s="49"/>
      <c r="Q29" s="49"/>
      <c r="R29" s="49"/>
      <c r="S29" s="49"/>
      <c r="T29" s="49"/>
      <c r="U29" s="49"/>
      <c r="V29" s="49"/>
      <c r="W29" s="49"/>
      <c r="AA29" s="22" t="s">
        <v>64</v>
      </c>
      <c r="AB29" s="22">
        <f>EXP(-$B$29*1/2) * (AD28*$B$32 + AD30*$B$33)</f>
        <v>0.83324928279952615</v>
      </c>
    </row>
    <row r="30" spans="1:30" x14ac:dyDescent="0.2">
      <c r="A30" t="s">
        <v>4</v>
      </c>
      <c r="B30">
        <f>EXP((B29*(1/2)) + $B$7 * SQRT(1/2))</f>
        <v>1.1695507946100931</v>
      </c>
      <c r="G30" s="15" t="s">
        <v>48</v>
      </c>
      <c r="H30" s="22">
        <f>$B$2</f>
        <v>6.55</v>
      </c>
      <c r="I30" s="17" t="s">
        <v>55</v>
      </c>
      <c r="J30" s="16">
        <f>$B$32</f>
        <v>0.46575899987429653</v>
      </c>
      <c r="K30" s="15" t="s">
        <v>52</v>
      </c>
      <c r="L30" s="22">
        <f>J29*$B$31</f>
        <v>6.8096933941334017</v>
      </c>
      <c r="M30">
        <f>J31*$B$6</f>
        <v>7.5692320959216799</v>
      </c>
      <c r="O30" s="49"/>
      <c r="P30" s="49"/>
      <c r="Q30" s="49"/>
      <c r="R30" s="49"/>
      <c r="S30" s="49"/>
      <c r="T30" s="49"/>
      <c r="U30" s="49"/>
      <c r="V30" s="49"/>
      <c r="W30" s="49"/>
      <c r="Y30" s="22" t="s">
        <v>67</v>
      </c>
      <c r="Z30" s="22">
        <f>1/(1+$B$29) * (AB29*$B$32 + AB31*$B$33)</f>
        <v>1.5928564901632525</v>
      </c>
      <c r="AC30" s="22" t="s">
        <v>60</v>
      </c>
      <c r="AD30" s="22">
        <f>MAX($B$1 - L30,0)</f>
        <v>1.5903066058665987</v>
      </c>
    </row>
    <row r="31" spans="1:30" x14ac:dyDescent="0.2">
      <c r="A31" t="s">
        <v>3</v>
      </c>
      <c r="B31">
        <f>EXP((B29*(1/2)) - $B$7 * SQRT(1/2))</f>
        <v>0.88892919505833001</v>
      </c>
      <c r="G31" s="14"/>
      <c r="I31" s="15" t="s">
        <v>50</v>
      </c>
      <c r="J31" s="22">
        <f>H30*$B$31</f>
        <v>5.8224862276320613</v>
      </c>
      <c r="K31" s="19" t="s">
        <v>58</v>
      </c>
      <c r="L31" s="20">
        <f>2*J30*J32</f>
        <v>0.4976551078207832</v>
      </c>
      <c r="AA31" s="22" t="s">
        <v>65</v>
      </c>
      <c r="AB31" s="22">
        <f>1/(1+$B$29) * (AD30*$B$32 + AD32*$B$33)</f>
        <v>2.3710210514740595</v>
      </c>
    </row>
    <row r="32" spans="1:30" x14ac:dyDescent="0.2">
      <c r="A32" t="s">
        <v>238</v>
      </c>
      <c r="B32">
        <f>(EXP(B29*1/2) - B31) / (B30-B31)</f>
        <v>0.46575899987429653</v>
      </c>
      <c r="G32" s="14"/>
      <c r="I32" s="18" t="s">
        <v>41</v>
      </c>
      <c r="J32" s="16">
        <f>$B$33</f>
        <v>0.53424100012570352</v>
      </c>
      <c r="K32" s="15" t="s">
        <v>53</v>
      </c>
      <c r="L32" s="22">
        <f>J31*$B$31</f>
        <v>5.1757779955671808</v>
      </c>
      <c r="S32" s="22" t="s">
        <v>71</v>
      </c>
      <c r="T32" s="22">
        <f>MAX(L28-$B$1,0)</f>
        <v>0.55941135068380632</v>
      </c>
      <c r="AC32" s="22" t="s">
        <v>61</v>
      </c>
      <c r="AD32" s="22">
        <f>MAX($B$1 - L32,0)</f>
        <v>3.2242220044328196</v>
      </c>
    </row>
    <row r="33" spans="1:42" x14ac:dyDescent="0.2">
      <c r="A33" t="s">
        <v>239</v>
      </c>
      <c r="B33">
        <f>(B30 - EXP(B29*1/2)) / (B30-B31)</f>
        <v>0.53424100012570352</v>
      </c>
      <c r="K33" s="21" t="s">
        <v>57</v>
      </c>
      <c r="L33" s="20">
        <f>J32*J32</f>
        <v>0.28541344621531195</v>
      </c>
      <c r="Q33" s="22" t="s">
        <v>69</v>
      </c>
      <c r="R33" s="22">
        <f>EXP(-$B$29*1/2) * (T32*$B$32 + T34*$B$33)</f>
        <v>0.25553441616071249</v>
      </c>
    </row>
    <row r="34" spans="1:42" x14ac:dyDescent="0.2">
      <c r="O34" s="22" t="s">
        <v>68</v>
      </c>
      <c r="P34" s="22">
        <f>1/(1+$B$29) * (R33*$B$32 + R35*$B$33)</f>
        <v>0.11456300981668088</v>
      </c>
      <c r="S34" s="22" t="s">
        <v>72</v>
      </c>
      <c r="T34" s="22">
        <f>MAX(L30-$B$1,0)</f>
        <v>0</v>
      </c>
    </row>
    <row r="35" spans="1:42" x14ac:dyDescent="0.2">
      <c r="Q35" s="22" t="s">
        <v>70</v>
      </c>
      <c r="R35" s="22">
        <f>1/(1+$B$29) * (T34*$B$32 + T36*$B$33)</f>
        <v>0</v>
      </c>
    </row>
    <row r="36" spans="1:42" x14ac:dyDescent="0.2">
      <c r="S36" s="22" t="s">
        <v>73</v>
      </c>
      <c r="T36" s="22">
        <f>MAX(L32-$B$1,0)</f>
        <v>0</v>
      </c>
    </row>
    <row r="39" spans="1:42" s="48" customFormat="1" x14ac:dyDescent="0.2">
      <c r="A39" s="48" t="s">
        <v>75</v>
      </c>
    </row>
    <row r="40" spans="1:42" ht="15" customHeight="1" x14ac:dyDescent="0.2">
      <c r="A40" s="2" t="s">
        <v>8</v>
      </c>
      <c r="G40" s="12" t="s">
        <v>9</v>
      </c>
      <c r="H40" s="12"/>
      <c r="I40" s="12"/>
      <c r="J40" s="12"/>
      <c r="K40" s="12"/>
      <c r="L40" s="12"/>
      <c r="M40" s="12"/>
      <c r="N40" s="12"/>
      <c r="R40" s="12" t="s">
        <v>16</v>
      </c>
      <c r="S40" s="12"/>
      <c r="T40" s="12"/>
      <c r="U40" s="12"/>
      <c r="V40" s="12"/>
      <c r="W40" s="12"/>
      <c r="X40" s="12"/>
      <c r="Y40" s="12"/>
      <c r="Z40" s="12"/>
      <c r="AA40" s="12"/>
      <c r="AC40" s="12" t="s">
        <v>22</v>
      </c>
      <c r="AD40" s="12"/>
      <c r="AE40" s="12"/>
      <c r="AF40" s="12"/>
      <c r="AG40" s="12"/>
      <c r="AH40" s="12"/>
      <c r="AN40" s="2" t="s">
        <v>28</v>
      </c>
    </row>
    <row r="41" spans="1:42" ht="34" customHeight="1" x14ac:dyDescent="0.2">
      <c r="A41" t="s">
        <v>76</v>
      </c>
      <c r="G41" t="s">
        <v>47</v>
      </c>
      <c r="R41" t="s">
        <v>62</v>
      </c>
      <c r="AC41" t="s">
        <v>74</v>
      </c>
      <c r="AN41" s="42" t="s">
        <v>91</v>
      </c>
      <c r="AO41" s="43"/>
      <c r="AP41" s="44"/>
    </row>
    <row r="42" spans="1:42" x14ac:dyDescent="0.2">
      <c r="A42" s="7" t="s">
        <v>77</v>
      </c>
      <c r="B42" s="7"/>
      <c r="C42" s="7"/>
      <c r="D42" s="7"/>
      <c r="E42" s="13">
        <f>SQRT(SQRT(1+B3)) -1</f>
        <v>9.6737212121547067E-3</v>
      </c>
      <c r="G42" t="s">
        <v>54</v>
      </c>
      <c r="AN42" s="25"/>
      <c r="AO42" s="26"/>
      <c r="AP42" s="27"/>
    </row>
    <row r="43" spans="1:42" x14ac:dyDescent="0.2">
      <c r="R43" t="s">
        <v>63</v>
      </c>
      <c r="AN43" s="28"/>
      <c r="AP43" s="29"/>
    </row>
    <row r="44" spans="1:42" ht="16" customHeight="1" x14ac:dyDescent="0.2">
      <c r="A44" t="s">
        <v>128</v>
      </c>
      <c r="B44" s="33">
        <f>(POWER($B$3 + 1, 1/4) - 1) / (1/4)</f>
        <v>3.8694884848618827E-2</v>
      </c>
      <c r="R44" s="4" t="s">
        <v>66</v>
      </c>
      <c r="S44" s="4"/>
      <c r="T44" s="4"/>
      <c r="U44" s="4"/>
      <c r="V44" s="4"/>
      <c r="W44" s="4"/>
      <c r="X44" s="4"/>
      <c r="Y44" s="4"/>
      <c r="Z44" s="4"/>
      <c r="AN44" s="30"/>
      <c r="AO44" s="31"/>
      <c r="AP44" s="32"/>
    </row>
    <row r="45" spans="1:42" x14ac:dyDescent="0.2">
      <c r="A45" t="s">
        <v>4</v>
      </c>
      <c r="B45">
        <f>EXP((B44*(1/4)) + $B$7 * SQRT(1/4))</f>
        <v>1.1125711868736727</v>
      </c>
      <c r="R45" s="4"/>
      <c r="S45" s="4"/>
      <c r="T45" s="4"/>
      <c r="U45" s="4"/>
      <c r="V45" s="4"/>
      <c r="W45" s="4"/>
      <c r="X45" s="4"/>
      <c r="Y45" s="4"/>
      <c r="Z45" s="22" t="s">
        <v>71</v>
      </c>
      <c r="AA45" s="22">
        <f>MAX(P46-$B$1,0)</f>
        <v>1.6358123886853448</v>
      </c>
      <c r="AK45" s="22" t="s">
        <v>59</v>
      </c>
      <c r="AL45" s="22">
        <f>MAX($B$1 - P46,0)</f>
        <v>0</v>
      </c>
      <c r="AN45" s="24">
        <v>0</v>
      </c>
      <c r="AO45" s="7">
        <f>AA45-AL45</f>
        <v>1.6358123886853448</v>
      </c>
      <c r="AP45" s="7">
        <f>P46-$B$1</f>
        <v>1.6358123886853448</v>
      </c>
    </row>
    <row r="46" spans="1:42" x14ac:dyDescent="0.2">
      <c r="A46" t="s">
        <v>3</v>
      </c>
      <c r="B46">
        <f>EXP((B44*(1/4)) - $B$7 * SQRT(1/4))</f>
        <v>0.91637805212997236</v>
      </c>
      <c r="O46" s="23" t="s">
        <v>82</v>
      </c>
      <c r="P46" s="22">
        <f>N47*$B$45</f>
        <v>10.035812388685345</v>
      </c>
      <c r="X46" s="22" t="s">
        <v>71</v>
      </c>
      <c r="Y46" s="22">
        <f>EXP(-$B$44*1/4) * (AA45*$B$47 + AA47*$B$48)</f>
        <v>0.77077636087671653</v>
      </c>
      <c r="AI46" s="22" t="s">
        <v>59</v>
      </c>
      <c r="AJ46" s="22">
        <f>EXP(-$B$44*1/4) * (AL45*$B$47 + AL47*$B$48)</f>
        <v>6.9531119696979476E-2</v>
      </c>
      <c r="AN46" s="7"/>
      <c r="AO46" s="7"/>
      <c r="AP46" s="7"/>
    </row>
    <row r="47" spans="1:42" x14ac:dyDescent="0.2">
      <c r="A47" t="s">
        <v>238</v>
      </c>
      <c r="B47">
        <f>(EXP(B44*1/4) - B46) / (B45-B46)</f>
        <v>0.47576899614755819</v>
      </c>
      <c r="M47" s="15" t="s">
        <v>78</v>
      </c>
      <c r="N47" s="22">
        <f>L48*$B$45</f>
        <v>9.0203777583760711</v>
      </c>
      <c r="V47" s="22" t="s">
        <v>71</v>
      </c>
      <c r="W47" s="22">
        <f>EXP(-$B$44*1/4) * (Y46*$B$47 + Y48*$B$48)</f>
        <v>0.36318113409314151</v>
      </c>
      <c r="Z47" s="22" t="s">
        <v>72</v>
      </c>
      <c r="AA47" s="22">
        <f>MAX(P48-$B$1,0)</f>
        <v>0</v>
      </c>
      <c r="AG47" s="22" t="s">
        <v>59</v>
      </c>
      <c r="AH47" s="22">
        <f>EXP(-$B$44*1/4) * (AJ46*$B$47 + AJ48*$B$48)</f>
        <v>0.49453875592338808</v>
      </c>
      <c r="AK47" s="22" t="s">
        <v>60</v>
      </c>
      <c r="AL47" s="22">
        <f>MAX($B$1 - P48,0)</f>
        <v>0.13392380030281004</v>
      </c>
      <c r="AN47" s="24">
        <v>1</v>
      </c>
      <c r="AO47" s="7">
        <f>AA47-AL47</f>
        <v>-0.13392380030281004</v>
      </c>
      <c r="AP47" s="7">
        <f>P48-$B$1</f>
        <v>-0.13392380030281004</v>
      </c>
    </row>
    <row r="48" spans="1:42" x14ac:dyDescent="0.2">
      <c r="A48" t="s">
        <v>239</v>
      </c>
      <c r="B48">
        <f>(B45 - EXP(B44*1/4)) / (B45-B46)</f>
        <v>0.52423100385244181</v>
      </c>
      <c r="G48" s="14"/>
      <c r="I48" s="14"/>
      <c r="K48" s="15" t="s">
        <v>51</v>
      </c>
      <c r="L48" s="22">
        <f>J49*$B$45</f>
        <v>8.107685930392778</v>
      </c>
      <c r="O48" s="23" t="s">
        <v>83</v>
      </c>
      <c r="P48" s="22">
        <f>N49*$B$45</f>
        <v>8.2660761996971903</v>
      </c>
      <c r="T48" s="22" t="s">
        <v>69</v>
      </c>
      <c r="U48" s="22">
        <f>EXP(-$B$44*1/4) * (W47*$B$47 + W49*$B$48)</f>
        <v>0.17112685709659115</v>
      </c>
      <c r="X48" s="22" t="s">
        <v>72</v>
      </c>
      <c r="Y48" s="22">
        <f t="shared" ref="Y48" si="0">EXP(-$B$44*1/4) * (AA47*$B$47 + AA49*$B$48)</f>
        <v>0</v>
      </c>
      <c r="AE48" s="22" t="s">
        <v>64</v>
      </c>
      <c r="AF48" s="22">
        <f>EXP(-$B$44*1/4) * (AH47*$B$47 + AH49*$B$48)</f>
        <v>1.0435111932996719</v>
      </c>
      <c r="AI48" s="22" t="s">
        <v>60</v>
      </c>
      <c r="AJ48" s="22">
        <f>EXP(-$B$44*1/4) * (AL47*$B$47 + AL49*$B$48)</f>
        <v>0.88942707702141699</v>
      </c>
      <c r="AN48" s="7"/>
      <c r="AO48" s="7"/>
      <c r="AP48" s="7"/>
    </row>
    <row r="49" spans="1:63" x14ac:dyDescent="0.2">
      <c r="G49" s="14"/>
      <c r="I49" s="15" t="s">
        <v>49</v>
      </c>
      <c r="J49" s="22">
        <f>H50*$B$45</f>
        <v>7.2873412740225563</v>
      </c>
      <c r="K49" s="19" t="s">
        <v>56</v>
      </c>
      <c r="L49" s="20">
        <f>J50*J50</f>
        <v>0.27659949619834717</v>
      </c>
      <c r="M49" s="15" t="s">
        <v>79</v>
      </c>
      <c r="N49" s="22">
        <f>L50*$B$45</f>
        <v>7.4297054401749163</v>
      </c>
      <c r="R49" s="22" t="s">
        <v>68</v>
      </c>
      <c r="S49" s="22">
        <f>EXP(-$B$44*1/4) * (U48*$B$47 + U50*$B$48)</f>
        <v>8.06330463526964E-2</v>
      </c>
      <c r="V49" s="22" t="s">
        <v>72</v>
      </c>
      <c r="W49" s="22">
        <f t="shared" ref="W49" si="1">EXP(-$B$44*1/4) * (Y48*$B$47 + Y50*$B$48)</f>
        <v>0</v>
      </c>
      <c r="Z49" s="22" t="s">
        <v>73</v>
      </c>
      <c r="AA49" s="22">
        <f>MAX(P50-$B$1,0)</f>
        <v>0</v>
      </c>
      <c r="AC49" s="22" t="s">
        <v>67</v>
      </c>
      <c r="AD49" s="22">
        <f>EXP(-$B$44*1/4) * (AF48*$B$47 + AF50*$B$48)</f>
        <v>1.6118043148560055</v>
      </c>
      <c r="AG49" s="22" t="s">
        <v>60</v>
      </c>
      <c r="AH49" s="22">
        <f>EXP(-$B$44*1/4) * (AJ48*$B$47 + AJ50*$B$48)</f>
        <v>1.5610839503278831</v>
      </c>
      <c r="AK49" s="22" t="s">
        <v>61</v>
      </c>
      <c r="AL49" s="22">
        <f>MAX($B$1 - P50,0)</f>
        <v>1.5915810008330507</v>
      </c>
      <c r="AN49" s="24">
        <v>2</v>
      </c>
      <c r="AO49" s="7">
        <f>AA49-AL49</f>
        <v>-1.5915810008330507</v>
      </c>
      <c r="AP49" s="7">
        <f>P50-$B$1</f>
        <v>-1.5915810008330507</v>
      </c>
    </row>
    <row r="50" spans="1:63" x14ac:dyDescent="0.2">
      <c r="G50" s="15" t="s">
        <v>48</v>
      </c>
      <c r="H50" s="22">
        <f>$B$2</f>
        <v>6.55</v>
      </c>
      <c r="I50" s="17" t="s">
        <v>55</v>
      </c>
      <c r="J50" s="16">
        <f>$H$19</f>
        <v>0.5259272727272728</v>
      </c>
      <c r="K50" s="15" t="s">
        <v>52</v>
      </c>
      <c r="L50" s="22">
        <f>J51*$B$45</f>
        <v>6.6779596018951413</v>
      </c>
      <c r="O50" s="23" t="s">
        <v>84</v>
      </c>
      <c r="P50" s="22">
        <f>N51*$B$45</f>
        <v>6.8084189991669497</v>
      </c>
      <c r="T50" s="22" t="s">
        <v>70</v>
      </c>
      <c r="U50" s="22">
        <f>EXP(-$B$44*1/4) * (W49*$B$47 + W51*$B$48)</f>
        <v>0</v>
      </c>
      <c r="X50" s="22" t="s">
        <v>73</v>
      </c>
      <c r="Y50" s="22">
        <f t="shared" ref="Y50" si="2">EXP(-$B$44*1/4) * (AA49*$B$47 + AA51*$B$48)</f>
        <v>0</v>
      </c>
      <c r="AE50" s="22" t="s">
        <v>65</v>
      </c>
      <c r="AF50" s="22">
        <f>EXP(-$B$44*1/4) * (AH49*$B$47 + AH51*$B$48)</f>
        <v>2.1574493687743184</v>
      </c>
      <c r="AI50" s="22" t="s">
        <v>61</v>
      </c>
      <c r="AJ50" s="22">
        <f>EXP(-$B$44*1/4) * (AL49*$B$47 + AL51*$B$48)</f>
        <v>2.1995969050090181</v>
      </c>
      <c r="AN50" s="7"/>
      <c r="AO50" s="7"/>
      <c r="AP50" s="7"/>
    </row>
    <row r="51" spans="1:63" x14ac:dyDescent="0.2">
      <c r="G51" s="14"/>
      <c r="I51" s="15" t="s">
        <v>50</v>
      </c>
      <c r="J51" s="22">
        <f>H50*$B$46</f>
        <v>6.0022762414513187</v>
      </c>
      <c r="K51" s="19" t="s">
        <v>58</v>
      </c>
      <c r="L51" s="20">
        <f>2*J50*(1-J50)</f>
        <v>0.49865555305785125</v>
      </c>
      <c r="M51" s="15" t="s">
        <v>80</v>
      </c>
      <c r="N51" s="22">
        <f>L52*$B$45</f>
        <v>6.1195356121873159</v>
      </c>
      <c r="V51" s="22" t="s">
        <v>73</v>
      </c>
      <c r="W51" s="22">
        <f t="shared" ref="W51" si="3">EXP(-$B$44*1/4) * (Y50*$B$47 + Y52*$B$48)</f>
        <v>0</v>
      </c>
      <c r="Z51" s="22" t="s">
        <v>87</v>
      </c>
      <c r="AA51" s="22">
        <f>MAX(P52-$B$1,0)</f>
        <v>0</v>
      </c>
      <c r="AG51" s="22" t="s">
        <v>61</v>
      </c>
      <c r="AH51" s="22">
        <f>EXP(-$B$44*1/4) * (AJ50*$B$47 + AJ52*$B$48)</f>
        <v>2.7386893417358533</v>
      </c>
      <c r="AK51" s="22" t="s">
        <v>89</v>
      </c>
      <c r="AL51" s="22">
        <f>MAX($B$1 - P52,0)</f>
        <v>2.7921918757637902</v>
      </c>
      <c r="AN51" s="24">
        <v>3</v>
      </c>
      <c r="AO51" s="7">
        <f>AA51-AL51</f>
        <v>-2.7921918757637902</v>
      </c>
      <c r="AP51" s="7">
        <f>P52-$B$1</f>
        <v>-2.7921918757637902</v>
      </c>
    </row>
    <row r="52" spans="1:63" x14ac:dyDescent="0.2">
      <c r="G52" s="14"/>
      <c r="I52" s="18" t="s">
        <v>41</v>
      </c>
      <c r="J52" s="16">
        <f>$H$20</f>
        <v>0.4740727272727272</v>
      </c>
      <c r="K52" s="15" t="s">
        <v>53</v>
      </c>
      <c r="L52" s="22">
        <f>J51*$B$46</f>
        <v>5.5003542104871714</v>
      </c>
      <c r="O52" s="23" t="s">
        <v>85</v>
      </c>
      <c r="P52" s="22">
        <f>N53*$B$45</f>
        <v>5.6078081242362101</v>
      </c>
      <c r="X52" s="22" t="s">
        <v>87</v>
      </c>
      <c r="Y52" s="22">
        <f t="shared" ref="Y52" si="4">EXP(-$B$44*1/4) * (AA51*$B$47 + AA53*$B$48)</f>
        <v>0</v>
      </c>
      <c r="AI52" s="22" t="s">
        <v>89</v>
      </c>
      <c r="AJ52" s="22">
        <f>EXP(-$B$44*1/4) * (AL51*$B$47 + AL53*$B$48)</f>
        <v>3.2787286397652076</v>
      </c>
      <c r="AN52" s="7"/>
      <c r="AO52" s="7"/>
      <c r="AP52" s="7"/>
    </row>
    <row r="53" spans="1:63" x14ac:dyDescent="0.2">
      <c r="K53" s="21" t="s">
        <v>57</v>
      </c>
      <c r="L53" s="20">
        <f>J52*J52</f>
        <v>0.22474495074380157</v>
      </c>
      <c r="M53" s="15" t="s">
        <v>81</v>
      </c>
      <c r="N53" s="22">
        <f>L52*$B$46</f>
        <v>5.0404038774311264</v>
      </c>
      <c r="Z53" s="22" t="s">
        <v>88</v>
      </c>
      <c r="AA53" s="22">
        <f>MAX(P54-$B$1,0)</f>
        <v>0</v>
      </c>
      <c r="AK53" s="22" t="s">
        <v>90</v>
      </c>
      <c r="AL53" s="22">
        <f>MAX($B$1 - P54,0)</f>
        <v>3.7810845128513044</v>
      </c>
      <c r="AN53" s="24">
        <v>4</v>
      </c>
      <c r="AO53" s="7">
        <f>AA53-AL53</f>
        <v>-3.7810845128513044</v>
      </c>
      <c r="AP53" s="7">
        <f>P54-$B$1</f>
        <v>-3.7810845128513044</v>
      </c>
    </row>
    <row r="54" spans="1:63" x14ac:dyDescent="0.2">
      <c r="O54" s="23" t="s">
        <v>86</v>
      </c>
      <c r="P54" s="22">
        <f>N53*$B$46</f>
        <v>4.6189154871486959</v>
      </c>
    </row>
    <row r="58" spans="1:63" s="48" customFormat="1" x14ac:dyDescent="0.2">
      <c r="A58" s="48" t="s">
        <v>92</v>
      </c>
    </row>
    <row r="59" spans="1:63" x14ac:dyDescent="0.2">
      <c r="A59" t="s">
        <v>93</v>
      </c>
      <c r="G59" s="12" t="s">
        <v>9</v>
      </c>
      <c r="H59" s="12"/>
      <c r="I59" s="12"/>
      <c r="J59" s="12"/>
      <c r="AD59" s="12"/>
    </row>
    <row r="60" spans="1:63" x14ac:dyDescent="0.2">
      <c r="A60" t="s">
        <v>94</v>
      </c>
      <c r="E60" s="33">
        <f>(POWER($B$3 + 1, 1/8) - 1) / (1/8)</f>
        <v>3.8601753885927792E-2</v>
      </c>
      <c r="G60" t="s">
        <v>47</v>
      </c>
      <c r="AT60" s="12" t="s">
        <v>22</v>
      </c>
      <c r="AU60" s="12"/>
      <c r="AV60" s="12"/>
    </row>
    <row r="61" spans="1:63" x14ac:dyDescent="0.2">
      <c r="D61" s="34"/>
      <c r="G61" t="s">
        <v>54</v>
      </c>
      <c r="AA61" s="12" t="s">
        <v>16</v>
      </c>
      <c r="AT61" t="s">
        <v>74</v>
      </c>
    </row>
    <row r="62" spans="1:63" x14ac:dyDescent="0.2">
      <c r="A62" t="s">
        <v>126</v>
      </c>
      <c r="B62">
        <f>EXP((E60*1/8) + $B$7 * SQRT(1/8))</f>
        <v>1.076176602523047</v>
      </c>
      <c r="AA62" s="2" t="s">
        <v>62</v>
      </c>
      <c r="AB62" s="12"/>
      <c r="AC62" s="12"/>
    </row>
    <row r="63" spans="1:63" x14ac:dyDescent="0.2">
      <c r="A63" t="s">
        <v>127</v>
      </c>
      <c r="B63">
        <f>EXP((E60*1/8) - $B$7 * SQRT(1/8))</f>
        <v>0.93822626485296723</v>
      </c>
      <c r="W63" s="23" t="s">
        <v>116</v>
      </c>
      <c r="X63" s="22">
        <f>V64*$B$62</f>
        <v>11.78445942673804</v>
      </c>
      <c r="AA63" s="45" t="s">
        <v>250</v>
      </c>
      <c r="AB63" s="46"/>
      <c r="AC63" s="45" t="s">
        <v>251</v>
      </c>
      <c r="AD63" s="46"/>
      <c r="AE63" s="45" t="s">
        <v>252</v>
      </c>
      <c r="AF63" s="46"/>
      <c r="AG63" s="45" t="s">
        <v>253</v>
      </c>
      <c r="AH63" s="46"/>
      <c r="AI63" s="45" t="s">
        <v>254</v>
      </c>
      <c r="AJ63" s="46"/>
      <c r="AK63" s="45" t="s">
        <v>255</v>
      </c>
      <c r="AL63" s="46"/>
      <c r="AM63" s="45" t="s">
        <v>256</v>
      </c>
      <c r="AN63" s="46"/>
      <c r="AO63" s="45" t="s">
        <v>257</v>
      </c>
      <c r="AP63" s="46"/>
      <c r="AQ63" s="45" t="s">
        <v>249</v>
      </c>
      <c r="AR63" s="46"/>
      <c r="AT63" s="45" t="s">
        <v>250</v>
      </c>
      <c r="AU63" s="46"/>
      <c r="AV63" s="45" t="s">
        <v>251</v>
      </c>
      <c r="AW63" s="46"/>
      <c r="AX63" s="45" t="s">
        <v>252</v>
      </c>
      <c r="AY63" s="46"/>
      <c r="AZ63" s="45" t="s">
        <v>253</v>
      </c>
      <c r="BA63" s="46"/>
      <c r="BB63" s="45" t="s">
        <v>254</v>
      </c>
      <c r="BC63" s="46"/>
      <c r="BD63" s="45" t="s">
        <v>255</v>
      </c>
      <c r="BE63" s="46"/>
      <c r="BF63" s="45" t="s">
        <v>256</v>
      </c>
      <c r="BG63" s="46"/>
      <c r="BH63" s="45" t="s">
        <v>257</v>
      </c>
      <c r="BI63" s="46"/>
      <c r="BJ63" s="45" t="s">
        <v>249</v>
      </c>
      <c r="BK63" s="46"/>
    </row>
    <row r="64" spans="1:63" x14ac:dyDescent="0.2">
      <c r="A64" t="s">
        <v>238</v>
      </c>
      <c r="B64">
        <f>(EXP(E60*1/8) - B63) / (B62-B63)</f>
        <v>0.48285937986667882</v>
      </c>
      <c r="U64" s="23" t="s">
        <v>108</v>
      </c>
      <c r="V64" s="22">
        <f>T65*$B$62</f>
        <v>10.950302579623003</v>
      </c>
    </row>
    <row r="65" spans="1:63" x14ac:dyDescent="0.2">
      <c r="A65" t="s">
        <v>239</v>
      </c>
      <c r="B65">
        <f>(B62 - EXP(E60*1/8)) / (B62-B63)</f>
        <v>0.51714062013332118</v>
      </c>
      <c r="S65" s="23" t="s">
        <v>101</v>
      </c>
      <c r="T65" s="22">
        <f>R66*$B$62</f>
        <v>10.175191092196687</v>
      </c>
      <c r="W65" s="23" t="s">
        <v>117</v>
      </c>
      <c r="X65" s="22">
        <f>V66*$B$62</f>
        <v>10.2738614882895</v>
      </c>
      <c r="AQ65" s="38" t="s">
        <v>240</v>
      </c>
      <c r="AR65" s="15">
        <f>MAX(X63-$B$1,0)</f>
        <v>3.3844594267380401</v>
      </c>
      <c r="BJ65" s="36" t="s">
        <v>259</v>
      </c>
      <c r="BK65" s="15">
        <f>MAX($B$1 - X63,0)</f>
        <v>0</v>
      </c>
    </row>
    <row r="66" spans="1:63" x14ac:dyDescent="0.2">
      <c r="Q66" s="23" t="s">
        <v>95</v>
      </c>
      <c r="R66" s="22">
        <f>P67*$B$62</f>
        <v>9.4549454693044019</v>
      </c>
      <c r="U66" s="23" t="s">
        <v>109</v>
      </c>
      <c r="V66" s="22">
        <f>T67*$B$62</f>
        <v>9.54663153259688</v>
      </c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38" t="s">
        <v>240</v>
      </c>
      <c r="AP66" s="15">
        <f>EXP(-$E$60*1/8) * (AR65*$B$64 + AR67*$B$65)</f>
        <v>2.5907367907849115</v>
      </c>
      <c r="AQ66" s="37"/>
      <c r="AR66" s="14"/>
      <c r="BH66" s="36" t="s">
        <v>259</v>
      </c>
      <c r="BI66" s="15">
        <f>EXP(-$E$60*1/8) * (BK65*$J$30 + BK67*$J$32)</f>
        <v>0</v>
      </c>
      <c r="BK66" s="14"/>
    </row>
    <row r="67" spans="1:63" x14ac:dyDescent="0.2">
      <c r="O67" s="23" t="s">
        <v>82</v>
      </c>
      <c r="P67" s="22">
        <f>N68*$B$62</f>
        <v>8.7856820591877884</v>
      </c>
      <c r="S67" s="23" t="s">
        <v>102</v>
      </c>
      <c r="T67" s="22">
        <f>R68*$B$62</f>
        <v>8.8708781720539527</v>
      </c>
      <c r="W67" s="23" t="s">
        <v>118</v>
      </c>
      <c r="X67" s="22">
        <f>V68*$B$62</f>
        <v>8.9569004447559308</v>
      </c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38" t="s">
        <v>240</v>
      </c>
      <c r="AN67" s="15">
        <f>EXP(-$E$60*1/8) * (AP66*$B$64 + AP68*$B$65)</f>
        <v>1.8558648805404721</v>
      </c>
      <c r="AO67" s="37"/>
      <c r="AP67" s="14"/>
      <c r="AQ67" s="38" t="s">
        <v>241</v>
      </c>
      <c r="AR67" s="15">
        <f>MAX(X65-$B$1,0)</f>
        <v>1.8738614882894993</v>
      </c>
      <c r="BF67" s="36" t="s">
        <v>259</v>
      </c>
      <c r="BG67" s="15">
        <f>EXP(-$E$60*1/8) * (BI66*$J$30 + BI68*$J$32)</f>
        <v>0</v>
      </c>
      <c r="BI67" s="14"/>
      <c r="BJ67" s="36" t="s">
        <v>260</v>
      </c>
      <c r="BK67" s="15">
        <f>MAX($B$1 - X65,0)</f>
        <v>0</v>
      </c>
    </row>
    <row r="68" spans="1:63" x14ac:dyDescent="0.2">
      <c r="M68" s="15" t="s">
        <v>78</v>
      </c>
      <c r="N68" s="22">
        <f>L69*$B$62</f>
        <v>8.1637921123634882</v>
      </c>
      <c r="Q68" s="23" t="s">
        <v>96</v>
      </c>
      <c r="R68" s="22">
        <f>P69*$B$62</f>
        <v>8.2429576625774832</v>
      </c>
      <c r="U68" s="23" t="s">
        <v>110</v>
      </c>
      <c r="V68" s="22">
        <f>T69*$B$62</f>
        <v>8.3228908933318984</v>
      </c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38" t="s">
        <v>240</v>
      </c>
      <c r="AL68" s="15">
        <f>EXP(-$E$60*1/8) * (AN67*$B$64 + AN69*$B$65)</f>
        <v>1.2562599075406544</v>
      </c>
      <c r="AM68" s="37"/>
      <c r="AN68" s="14"/>
      <c r="AO68" s="38" t="s">
        <v>241</v>
      </c>
      <c r="AP68" s="15">
        <f>EXP(-$E$60*1/8) * (AR67*$B$64 + AR69*$B$65)</f>
        <v>1.1870657437587908</v>
      </c>
      <c r="AQ68" s="14"/>
      <c r="AR68" s="14"/>
      <c r="BD68" s="36" t="s">
        <v>259</v>
      </c>
      <c r="BE68" s="15">
        <f>EXP(-$E$60*1/8) * (BG67*$J$30 + BG69*$J$32)</f>
        <v>8.325981125283953E-2</v>
      </c>
      <c r="BG68" s="14"/>
      <c r="BH68" s="36" t="s">
        <v>260</v>
      </c>
      <c r="BI68" s="15">
        <f>EXP(-$E$60*1/8) * (BK67*$B$64 + BK69*$B$65)</f>
        <v>0</v>
      </c>
      <c r="BK68" s="14"/>
    </row>
    <row r="69" spans="1:63" x14ac:dyDescent="0.2">
      <c r="G69" s="14"/>
      <c r="I69" s="14"/>
      <c r="K69" s="15" t="s">
        <v>51</v>
      </c>
      <c r="L69" s="22">
        <f>J70*$B$62</f>
        <v>7.5859223228082167</v>
      </c>
      <c r="O69" s="23" t="s">
        <v>83</v>
      </c>
      <c r="P69" s="22">
        <f>N70*$B$62</f>
        <v>7.65948418061891</v>
      </c>
      <c r="S69" s="23" t="s">
        <v>103</v>
      </c>
      <c r="T69" s="22">
        <f>R70*$B$62</f>
        <v>7.7337593791012171</v>
      </c>
      <c r="W69" s="23" t="s">
        <v>119</v>
      </c>
      <c r="X69" s="22">
        <f>V70*$B$62</f>
        <v>7.8087548356295624</v>
      </c>
      <c r="AA69" s="14"/>
      <c r="AB69" s="14"/>
      <c r="AC69" s="14"/>
      <c r="AD69" s="14"/>
      <c r="AE69" s="14"/>
      <c r="AF69" s="14"/>
      <c r="AG69" s="14"/>
      <c r="AH69" s="14"/>
      <c r="AI69" s="38" t="s">
        <v>240</v>
      </c>
      <c r="AJ69" s="15">
        <f>EXP(-$E$60*1/8) * (AL68*$B$64 + AL70*$B$65)</f>
        <v>0.81286953255448591</v>
      </c>
      <c r="AK69" s="37"/>
      <c r="AL69" s="14"/>
      <c r="AM69" s="38" t="s">
        <v>241</v>
      </c>
      <c r="AN69" s="15">
        <f>EXP(-$E$60*1/8) * (AP68*$B$64 + AP70*$B$65)</f>
        <v>0.7081526872141316</v>
      </c>
      <c r="AO69" s="14"/>
      <c r="AP69" s="14"/>
      <c r="AQ69" s="38" t="s">
        <v>243</v>
      </c>
      <c r="AR69" s="15">
        <f>MAX(X67-$B$1,0)</f>
        <v>0.55690044475593048</v>
      </c>
      <c r="BB69" s="36" t="s">
        <v>259</v>
      </c>
      <c r="BC69" s="15">
        <f>EXP(-$E$60*1/8) * (BE68*$B$64 + BE70*$B$65)</f>
        <v>0.26789533548404099</v>
      </c>
      <c r="BE69" s="14"/>
      <c r="BF69" s="36" t="s">
        <v>260</v>
      </c>
      <c r="BG69" s="15">
        <f>EXP(-$E$60*1/8) * (BI68*$B$64 + BI70*$B$65)</f>
        <v>0.15660072681639228</v>
      </c>
      <c r="BI69" s="14"/>
      <c r="BJ69" s="36" t="s">
        <v>261</v>
      </c>
      <c r="BK69" s="15">
        <f>MAX($B$1 - X67,0)</f>
        <v>0</v>
      </c>
    </row>
    <row r="70" spans="1:63" x14ac:dyDescent="0.2">
      <c r="G70" s="14"/>
      <c r="I70" s="15" t="s">
        <v>49</v>
      </c>
      <c r="J70" s="22">
        <f>H71*$B$62</f>
        <v>7.0489567465259579</v>
      </c>
      <c r="K70" s="19" t="s">
        <v>56</v>
      </c>
      <c r="L70" s="20">
        <f>J71*J71</f>
        <v>0.27659949619834717</v>
      </c>
      <c r="M70" s="15" t="s">
        <v>79</v>
      </c>
      <c r="N70" s="22">
        <f>L71*$B$62</f>
        <v>7.1173115663930977</v>
      </c>
      <c r="Q70" s="23" t="s">
        <v>97</v>
      </c>
      <c r="R70" s="22">
        <f>P71*$B$62</f>
        <v>7.1863292334824695</v>
      </c>
      <c r="U70" s="23" t="s">
        <v>111</v>
      </c>
      <c r="V70" s="22">
        <f>T71*$B$62</f>
        <v>7.2560161755257386</v>
      </c>
      <c r="AA70" s="14"/>
      <c r="AB70" s="14"/>
      <c r="AC70" s="14"/>
      <c r="AD70" s="14"/>
      <c r="AE70" s="14"/>
      <c r="AF70" s="14"/>
      <c r="AG70" s="38" t="s">
        <v>240</v>
      </c>
      <c r="AH70" s="15">
        <f>EXP(-$E$60*1/8) * (AJ69*$B$64 + AJ71*$B$65)</f>
        <v>0.50750407761802152</v>
      </c>
      <c r="AI70" s="37"/>
      <c r="AJ70" s="14"/>
      <c r="AK70" s="38" t="s">
        <v>241</v>
      </c>
      <c r="AL70" s="15">
        <f>EXP(-$E$60*1/8) * (AN69*$B$64 + AN71*$B$65)</f>
        <v>0.40647436368917922</v>
      </c>
      <c r="AM70" s="14"/>
      <c r="AN70" s="14"/>
      <c r="AO70" s="38" t="s">
        <v>243</v>
      </c>
      <c r="AP70" s="15">
        <f>EXP(-$E$60*1/8) * (AR69*$B$64 + AR71*$B$65)</f>
        <v>0.26761020512656675</v>
      </c>
      <c r="AQ70" s="14"/>
      <c r="AR70" s="14"/>
      <c r="AZ70" s="36" t="s">
        <v>259</v>
      </c>
      <c r="BA70" s="15">
        <f>EXP(-$E$60*1/8) * (BC69*$B$64 + BC71*$B$65)</f>
        <v>0.54409329818615693</v>
      </c>
      <c r="BC70" s="14"/>
      <c r="BD70" s="36" t="s">
        <v>260</v>
      </c>
      <c r="BE70" s="15">
        <f>EXP(-$E$60*1/8) * (BG69*$B$64 + BG71*$B$65)</f>
        <v>0.4427970326766098</v>
      </c>
      <c r="BG70" s="14"/>
      <c r="BH70" s="36" t="s">
        <v>261</v>
      </c>
      <c r="BI70" s="15">
        <f>EXP(-$E$60*1/8) * (BK69*$B$64 + BK71*$B$65)</f>
        <v>0.30428510063275838</v>
      </c>
      <c r="BK70" s="14"/>
    </row>
    <row r="71" spans="1:63" x14ac:dyDescent="0.2">
      <c r="G71" s="15" t="s">
        <v>48</v>
      </c>
      <c r="H71" s="22">
        <f>$B$2</f>
        <v>6.55</v>
      </c>
      <c r="I71" s="17" t="s">
        <v>55</v>
      </c>
      <c r="J71" s="16">
        <f>$H$19</f>
        <v>0.5259272727272728</v>
      </c>
      <c r="K71" s="15" t="s">
        <v>52</v>
      </c>
      <c r="L71" s="22">
        <f>J72*$B$62</f>
        <v>6.6135163594031727</v>
      </c>
      <c r="O71" s="23" t="s">
        <v>84</v>
      </c>
      <c r="P71" s="22">
        <f>N72*$B$62</f>
        <v>6.677648646731817</v>
      </c>
      <c r="S71" s="23" t="s">
        <v>104</v>
      </c>
      <c r="T71" s="22">
        <f>R72*$B$62</f>
        <v>6.7424028347339453</v>
      </c>
      <c r="W71" s="23" t="s">
        <v>120</v>
      </c>
      <c r="X71" s="22">
        <f>V72*$B$62</f>
        <v>6.8077849540762241</v>
      </c>
      <c r="AA71" s="14"/>
      <c r="AB71" s="14"/>
      <c r="AC71" s="14"/>
      <c r="AD71" s="14"/>
      <c r="AE71" s="38" t="s">
        <v>240</v>
      </c>
      <c r="AF71" s="15">
        <f>EXP(-$E$60*1/8) * (AH70*$B$64 + AH72*$B$65)</f>
        <v>0.30790920048252346</v>
      </c>
      <c r="AG71" s="37"/>
      <c r="AH71" s="14"/>
      <c r="AI71" s="38" t="s">
        <v>241</v>
      </c>
      <c r="AJ71" s="15">
        <f>EXP(-$E$60*1/8) * (AL70*$B$64 + AL72*$B$65)</f>
        <v>0.22712803952709584</v>
      </c>
      <c r="AK71" s="14"/>
      <c r="AL71" s="14"/>
      <c r="AM71" s="38" t="s">
        <v>243</v>
      </c>
      <c r="AN71" s="15">
        <f>EXP(-$E$60*1/8) * (AP70*$B$64 + AP72*$B$65)</f>
        <v>0.12859609390197116</v>
      </c>
      <c r="AO71" s="14"/>
      <c r="AP71" s="14"/>
      <c r="AQ71" s="38" t="s">
        <v>244</v>
      </c>
      <c r="AR71" s="15">
        <f>MAX(X69-$B$1,0)</f>
        <v>0</v>
      </c>
      <c r="AX71" s="36" t="s">
        <v>259</v>
      </c>
      <c r="AY71" s="15">
        <f>EXP(-$E$60*1/8) * (BA70*$B$64 + BA72*$B$65)</f>
        <v>0.88257816917068532</v>
      </c>
      <c r="BA71" s="14"/>
      <c r="BB71" s="36" t="s">
        <v>260</v>
      </c>
      <c r="BC71" s="15">
        <f>EXP(-$E$60*1/8) * (BE70*$B$64 + BE72*$B$65)</f>
        <v>0.80707107509272558</v>
      </c>
      <c r="BE71" s="14"/>
      <c r="BF71" s="36" t="s">
        <v>261</v>
      </c>
      <c r="BG71" s="15">
        <f>EXP(-$E$60*1/8) * (BI70*$B$64 + BI72*$B$65)</f>
        <v>0.71416292645696788</v>
      </c>
      <c r="BI71" s="14"/>
      <c r="BJ71" s="36" t="s">
        <v>262</v>
      </c>
      <c r="BK71" s="15">
        <f>MAX($B$1 - X69,0)</f>
        <v>0.59124516437043795</v>
      </c>
    </row>
    <row r="72" spans="1:63" x14ac:dyDescent="0.2">
      <c r="G72" s="14"/>
      <c r="I72" s="15" t="s">
        <v>50</v>
      </c>
      <c r="J72" s="22">
        <f>H71*$B$63</f>
        <v>6.1453820347869348</v>
      </c>
      <c r="K72" s="19" t="s">
        <v>58</v>
      </c>
      <c r="L72" s="20">
        <f>2*J71*(1-J71)</f>
        <v>0.49865555305785125</v>
      </c>
      <c r="M72" s="15" t="s">
        <v>80</v>
      </c>
      <c r="N72" s="22">
        <f>L73*$B$62</f>
        <v>6.2049747514268327</v>
      </c>
      <c r="Q72" s="23" t="s">
        <v>98</v>
      </c>
      <c r="R72" s="22">
        <f>P73*$B$62</f>
        <v>6.2651453478236645</v>
      </c>
      <c r="U72" s="23" t="s">
        <v>112</v>
      </c>
      <c r="V72" s="22">
        <f>T73*$B$62</f>
        <v>6.3258994277664859</v>
      </c>
      <c r="AA72" s="14"/>
      <c r="AB72" s="14"/>
      <c r="AC72" s="38" t="s">
        <v>240</v>
      </c>
      <c r="AD72" s="15">
        <f>EXP(-$E$60*1/8) * (AF71*$B$64 + AF73*$B$65)</f>
        <v>0.18251202371711403</v>
      </c>
      <c r="AE72" s="37"/>
      <c r="AF72" s="14"/>
      <c r="AG72" s="38" t="s">
        <v>241</v>
      </c>
      <c r="AH72" s="15">
        <f>EXP(-$E$60*1/8) * (AJ71*$B$64 + AJ73*$B$65)</f>
        <v>0.12442537567793276</v>
      </c>
      <c r="AI72" s="14"/>
      <c r="AJ72" s="14"/>
      <c r="AK72" s="38" t="s">
        <v>243</v>
      </c>
      <c r="AL72" s="15">
        <f>EXP(-$E$60*1/8) * (AN71*$B$64 + AN73*$B$65)</f>
        <v>6.1794935507124629E-2</v>
      </c>
      <c r="AM72" s="14"/>
      <c r="AN72" s="14"/>
      <c r="AO72" s="38" t="s">
        <v>244</v>
      </c>
      <c r="AP72" s="15">
        <f>EXP(-$E$60*1/8) * (AR71*$B$64 + AR73*$B$65)</f>
        <v>0</v>
      </c>
      <c r="AQ72" s="37"/>
      <c r="AR72" s="14"/>
      <c r="AV72" s="36" t="s">
        <v>259</v>
      </c>
      <c r="AW72" s="15">
        <f>EXP(-$E$60*1/8) * (AY71*$B$64 + AY73*$B$65)</f>
        <v>1.2547125822707528</v>
      </c>
      <c r="AY72" s="14"/>
      <c r="AZ72" s="36" t="s">
        <v>260</v>
      </c>
      <c r="BA72" s="15">
        <f>EXP(-$E$60*1/8) * (BC71*$B$64 + BC73*$B$65)</f>
        <v>1.2068797469083756</v>
      </c>
      <c r="BC72" s="14"/>
      <c r="BD72" s="36" t="s">
        <v>261</v>
      </c>
      <c r="BE72" s="15">
        <f>EXP(-$E$60*1/8) * (BG71*$B$64 + BG73*$B$65)</f>
        <v>1.154746033589569</v>
      </c>
      <c r="BG72" s="14"/>
      <c r="BH72" s="36" t="s">
        <v>262</v>
      </c>
      <c r="BI72" s="15">
        <f>EXP(-$E$60*1/8) * (BK71*$B$64 + BK73*$B$65)</f>
        <v>1.1035496133123528</v>
      </c>
      <c r="BK72" s="14"/>
    </row>
    <row r="73" spans="1:63" x14ac:dyDescent="0.2">
      <c r="G73" s="14"/>
      <c r="I73" s="18" t="s">
        <v>41</v>
      </c>
      <c r="J73" s="16">
        <f>$H$20</f>
        <v>0.4740727272727272</v>
      </c>
      <c r="K73" s="15" t="s">
        <v>53</v>
      </c>
      <c r="L73" s="22">
        <f>J72*$B$63</f>
        <v>5.765758832592673</v>
      </c>
      <c r="O73" s="23" t="s">
        <v>85</v>
      </c>
      <c r="P73" s="22">
        <f>N74*$B$62</f>
        <v>5.8216702845381665</v>
      </c>
      <c r="S73" s="23" t="s">
        <v>105</v>
      </c>
      <c r="T73" s="22">
        <f>R74*$B$62</f>
        <v>5.87812391844954</v>
      </c>
      <c r="W73" s="23" t="s">
        <v>121</v>
      </c>
      <c r="X73" s="22">
        <f>V74*$B$62</f>
        <v>5.9351249919488742</v>
      </c>
      <c r="AA73" s="38" t="s">
        <v>242</v>
      </c>
      <c r="AB73" s="15">
        <f>EXP(-$E$60*1/8) * (AD72*$B$64 + AD74*$B$65)</f>
        <v>0.10612248785565331</v>
      </c>
      <c r="AC73" s="37"/>
      <c r="AD73" s="14"/>
      <c r="AE73" s="38" t="s">
        <v>241</v>
      </c>
      <c r="AF73" s="15">
        <f>EXP(-$E$60*1/8) * (AH72*$B$64 + AH74*$B$65)</f>
        <v>6.7134480263939963E-2</v>
      </c>
      <c r="AG73" s="14"/>
      <c r="AH73" s="14"/>
      <c r="AI73" s="38" t="s">
        <v>243</v>
      </c>
      <c r="AJ73" s="15">
        <f>EXP(-$E$60*1/8) * (AL72*$B$64 + AL74*$B$65)</f>
        <v>2.9694634871574116E-2</v>
      </c>
      <c r="AK73" s="14"/>
      <c r="AL73" s="14"/>
      <c r="AM73" s="38" t="s">
        <v>244</v>
      </c>
      <c r="AN73" s="15">
        <f>EXP(-$E$60*1/8) * (AP72*$B$64 + AP74*$B$65)</f>
        <v>0</v>
      </c>
      <c r="AO73" s="37"/>
      <c r="AP73" s="14"/>
      <c r="AQ73" s="38" t="s">
        <v>245</v>
      </c>
      <c r="AR73" s="15">
        <f>MAX(X71-$B$1,0)</f>
        <v>0</v>
      </c>
      <c r="AT73" s="38" t="s">
        <v>268</v>
      </c>
      <c r="AU73" s="22">
        <f>EXP(-$E$60*1/8) * (AW72*$B$64 + AW74*$B$65)</f>
        <v>1.632538463908668</v>
      </c>
      <c r="AW73" s="14"/>
      <c r="AX73" s="36" t="s">
        <v>260</v>
      </c>
      <c r="AY73" s="15">
        <f>EXP(-$E$60*1/8) * (BA72*$B$64 + BA74*$B$65)</f>
        <v>1.6139136933176277</v>
      </c>
      <c r="BA73" s="14"/>
      <c r="BB73" s="36" t="s">
        <v>261</v>
      </c>
      <c r="BC73" s="15">
        <f>EXP(-$E$60*1/8) * (BE72*$B$64 + BE74*$B$65)</f>
        <v>1.5914732043242967</v>
      </c>
      <c r="BE73" s="14"/>
      <c r="BF73" s="36" t="s">
        <v>262</v>
      </c>
      <c r="BG73" s="15">
        <f>EXP(-$E$60*1/8) * (BI72*$B$64 + BI74*$B$65)</f>
        <v>1.5769233769222701</v>
      </c>
      <c r="BI73" s="14"/>
      <c r="BJ73" s="36" t="s">
        <v>263</v>
      </c>
      <c r="BK73" s="15">
        <f>MAX($B$1 - X71,0)</f>
        <v>1.5922150459237763</v>
      </c>
    </row>
    <row r="74" spans="1:63" x14ac:dyDescent="0.2">
      <c r="K74" s="21" t="s">
        <v>57</v>
      </c>
      <c r="L74" s="20">
        <f>J73*J73</f>
        <v>0.22474495074380157</v>
      </c>
      <c r="M74" s="15" t="s">
        <v>81</v>
      </c>
      <c r="N74" s="22">
        <f>L73*$B$63</f>
        <v>5.4095863735464285</v>
      </c>
      <c r="Q74" s="23" t="s">
        <v>100</v>
      </c>
      <c r="R74" s="22">
        <f>P75*$B$62</f>
        <v>5.4620439662677542</v>
      </c>
      <c r="U74" s="23" t="s">
        <v>113</v>
      </c>
      <c r="V74" s="22">
        <f>T75*$B$62</f>
        <v>5.5150102483498005</v>
      </c>
      <c r="AA74" s="14"/>
      <c r="AB74" s="14"/>
      <c r="AC74" s="38" t="s">
        <v>241</v>
      </c>
      <c r="AD74" s="15">
        <f>EXP(-$E$60*1/8) * (AF73*$B$64 + AF75*$B$65)</f>
        <v>3.5789389220661265E-2</v>
      </c>
      <c r="AE74" s="14"/>
      <c r="AF74" s="14"/>
      <c r="AG74" s="38" t="s">
        <v>243</v>
      </c>
      <c r="AH74" s="15">
        <f>EXP(-$E$60*1/8) * (AJ73*$B$64 + AJ75*$B$65)</f>
        <v>1.4269314029050842E-2</v>
      </c>
      <c r="AI74" s="14"/>
      <c r="AJ74" s="14"/>
      <c r="AK74" s="38" t="s">
        <v>244</v>
      </c>
      <c r="AL74" s="15">
        <f>EXP(-$E$60*1/8) * (AN73*$B$64 + AN75*$B$65)</f>
        <v>0</v>
      </c>
      <c r="AM74" s="37"/>
      <c r="AN74" s="14"/>
      <c r="AO74" s="38" t="s">
        <v>245</v>
      </c>
      <c r="AP74" s="15">
        <f>EXP(-$E$60*1/8) * (AR73*$B$64 + AR75*$B$65)</f>
        <v>0</v>
      </c>
      <c r="AQ74" s="37"/>
      <c r="AR74" s="14"/>
      <c r="AV74" s="36" t="s">
        <v>260</v>
      </c>
      <c r="AW74" s="15">
        <f>EXP(-$E$60*1/8) * (AY73*$B$64 + AY75*$B$65)</f>
        <v>2.0005876077659646</v>
      </c>
      <c r="AY74" s="14"/>
      <c r="AZ74" s="36" t="s">
        <v>261</v>
      </c>
      <c r="BA74" s="15">
        <f>EXP(-$E$60*1/8) * (BC73*$B$64 + BC75*$B$65)</f>
        <v>2.0090605002257584</v>
      </c>
      <c r="BC74" s="14"/>
      <c r="BD74" s="36" t="s">
        <v>262</v>
      </c>
      <c r="BE74" s="15">
        <f>EXP(-$E$60*1/8) * (BG73*$B$64 + BG75*$B$65)</f>
        <v>2.0141349837412501</v>
      </c>
      <c r="BG74" s="14"/>
      <c r="BH74" s="36" t="s">
        <v>263</v>
      </c>
      <c r="BI74" s="15">
        <f>EXP(-$E$60*1/8) * (BK73*$B$64 + BK75*$B$65)</f>
        <v>2.0336663610716039</v>
      </c>
      <c r="BK74" s="14"/>
    </row>
    <row r="75" spans="1:63" x14ac:dyDescent="0.2">
      <c r="O75" s="23" t="s">
        <v>86</v>
      </c>
      <c r="P75" s="22">
        <f>N74*$B$63</f>
        <v>5.0754160176519738</v>
      </c>
      <c r="S75" s="23" t="s">
        <v>106</v>
      </c>
      <c r="T75" s="22">
        <f>R76*$B$62</f>
        <v>5.1246331089340824</v>
      </c>
      <c r="W75" s="23" t="s">
        <v>122</v>
      </c>
      <c r="X75" s="22">
        <f>V76*$B$62</f>
        <v>5.1743274659350682</v>
      </c>
      <c r="AA75" s="14"/>
      <c r="AB75" s="14"/>
      <c r="AC75" s="14"/>
      <c r="AD75" s="14"/>
      <c r="AE75" s="38" t="s">
        <v>243</v>
      </c>
      <c r="AF75" s="15">
        <f>EXP(-$E$60*1/8) * (AH74*$B$64 + AH76*$B$65)</f>
        <v>6.8569060956725483E-3</v>
      </c>
      <c r="AG75" s="14"/>
      <c r="AH75" s="14"/>
      <c r="AI75" s="38" t="s">
        <v>244</v>
      </c>
      <c r="AJ75" s="15">
        <f>EXP(-$E$60*1/8) * (AL74*$B$64 + AL76*$B$65)</f>
        <v>0</v>
      </c>
      <c r="AK75" s="37"/>
      <c r="AL75" s="14"/>
      <c r="AM75" s="38" t="s">
        <v>245</v>
      </c>
      <c r="AN75" s="15">
        <f t="shared" ref="AN75" si="5">EXP(-$E$60*1/8) * (AP74*$B$64 + AP76*$B$65)</f>
        <v>0</v>
      </c>
      <c r="AO75" s="37"/>
      <c r="AP75" s="14"/>
      <c r="AQ75" s="38" t="s">
        <v>246</v>
      </c>
      <c r="AR75" s="15">
        <f>MAX(X73-$B$1,0)</f>
        <v>0</v>
      </c>
      <c r="AX75" s="36" t="s">
        <v>261</v>
      </c>
      <c r="AY75" s="15">
        <f>EXP(-$E$60*1/8) * (BA74*$B$64 + BA76*$B$65)</f>
        <v>2.3803406571084604</v>
      </c>
      <c r="BA75" s="14"/>
      <c r="BB75" s="36" t="s">
        <v>262</v>
      </c>
      <c r="BC75" s="15">
        <f>EXP(-$E$60*1/8) * (BE74*$B$64 + BE76*$B$65)</f>
        <v>2.4177569316463736</v>
      </c>
      <c r="BE75" s="14"/>
      <c r="BF75" s="36" t="s">
        <v>263</v>
      </c>
      <c r="BG75" s="15">
        <f>EXP(-$E$60*1/8) * (BI74*$B$64 + BI76*$B$65)</f>
        <v>2.4412022932066733</v>
      </c>
      <c r="BI75" s="14"/>
      <c r="BJ75" s="36" t="s">
        <v>264</v>
      </c>
      <c r="BK75" s="15">
        <f>MAX($B$1 - X73,0)</f>
        <v>2.4648750080511261</v>
      </c>
    </row>
    <row r="76" spans="1:63" x14ac:dyDescent="0.2">
      <c r="Q76" s="23" t="s">
        <v>99</v>
      </c>
      <c r="R76" s="22">
        <f>P75*$B$63</f>
        <v>4.7618886128165334</v>
      </c>
      <c r="U76" s="23" t="s">
        <v>114</v>
      </c>
      <c r="V76" s="22">
        <f>T77*$B$62</f>
        <v>4.808065380537073</v>
      </c>
      <c r="AA76" s="14"/>
      <c r="AB76" s="14"/>
      <c r="AC76" s="14"/>
      <c r="AD76" s="14"/>
      <c r="AE76" s="14"/>
      <c r="AF76" s="14"/>
      <c r="AG76" s="38" t="s">
        <v>244</v>
      </c>
      <c r="AH76" s="15">
        <f>EXP(-$E$60*1/8) * (AJ75*$B$64 + AJ77*$B$65)</f>
        <v>0</v>
      </c>
      <c r="AI76" s="37"/>
      <c r="AJ76" s="14"/>
      <c r="AK76" s="38" t="s">
        <v>245</v>
      </c>
      <c r="AL76" s="15">
        <f>EXP(-$E$60*1/8) * (AN75*$B$64 + AN77*$B$65)</f>
        <v>0</v>
      </c>
      <c r="AM76" s="37"/>
      <c r="AN76" s="14"/>
      <c r="AO76" s="38" t="s">
        <v>246</v>
      </c>
      <c r="AP76" s="15">
        <f t="shared" ref="AP76" si="6">EXP(-$E$60*1/8) * (AR75*$B$64 + AR77*$B$65)</f>
        <v>0</v>
      </c>
      <c r="AQ76" s="37"/>
      <c r="AR76" s="14"/>
      <c r="AZ76" s="36" t="s">
        <v>262</v>
      </c>
      <c r="BA76" s="15">
        <f>EXP(-$E$60*1/8) * (BC75*$B$64 + BC77*$B$65)</f>
        <v>2.7492722773645837</v>
      </c>
      <c r="BC76" s="14"/>
      <c r="BD76" s="36" t="s">
        <v>263</v>
      </c>
      <c r="BE76" s="15">
        <f>EXP(-$E$60*1/8) * (BG75*$B$64 + BG77*$B$65)</f>
        <v>2.817236365297159</v>
      </c>
      <c r="BG76" s="14"/>
      <c r="BH76" s="36" t="s">
        <v>264</v>
      </c>
      <c r="BI76" s="15">
        <f>EXP(-$E$60*1/8) * (BK75*$B$64 + BK77*$B$65)</f>
        <v>2.8445555404882894</v>
      </c>
      <c r="BK76" s="14"/>
    </row>
    <row r="77" spans="1:63" x14ac:dyDescent="0.2">
      <c r="S77" s="23" t="s">
        <v>107</v>
      </c>
      <c r="T77" s="22">
        <f>R76*$B$63</f>
        <v>4.4677289668487337</v>
      </c>
      <c r="W77" s="23" t="s">
        <v>123</v>
      </c>
      <c r="X77" s="22">
        <f>V78*$B$62</f>
        <v>4.5110532231501583</v>
      </c>
      <c r="AA77" s="14"/>
      <c r="AB77" s="14"/>
      <c r="AC77" s="14"/>
      <c r="AD77" s="14"/>
      <c r="AE77" s="14"/>
      <c r="AF77" s="14"/>
      <c r="AG77" s="14"/>
      <c r="AH77" s="14"/>
      <c r="AI77" s="38" t="s">
        <v>245</v>
      </c>
      <c r="AJ77" s="15">
        <f>EXP(-$E$60*1/8) * (AL76*$B$64 + AL78*$B$65)</f>
        <v>0</v>
      </c>
      <c r="AK77" s="37"/>
      <c r="AL77" s="14"/>
      <c r="AM77" s="38" t="s">
        <v>246</v>
      </c>
      <c r="AN77" s="15">
        <f t="shared" ref="AN77" si="7">EXP(-$E$60*1/8) * (AP76*$B$64 + AP78*$B$65)</f>
        <v>0</v>
      </c>
      <c r="AO77" s="37"/>
      <c r="AP77" s="14"/>
      <c r="AQ77" s="38" t="s">
        <v>247</v>
      </c>
      <c r="AR77" s="15">
        <f>MAX(X75-$B$1,0)</f>
        <v>0</v>
      </c>
      <c r="BB77" s="36" t="s">
        <v>263</v>
      </c>
      <c r="BC77" s="15">
        <f>EXP(-$E$60*1/8) * (BE76*$B$64 + BE78*$B$65)</f>
        <v>3.0845257573919969</v>
      </c>
      <c r="BE77" s="14"/>
      <c r="BF77" s="36" t="s">
        <v>264</v>
      </c>
      <c r="BG77" s="15">
        <f>EXP(-$E$60*1/8) * (BI76*$B$64 + BI78*$B$65)</f>
        <v>3.1946931027221317</v>
      </c>
      <c r="BI77" s="14"/>
      <c r="BJ77" s="36" t="s">
        <v>265</v>
      </c>
      <c r="BK77" s="15">
        <f>MAX($B$1 - X75,0)</f>
        <v>3.2256725340649322</v>
      </c>
    </row>
    <row r="78" spans="1:63" x14ac:dyDescent="0.2">
      <c r="U78" s="23" t="s">
        <v>115</v>
      </c>
      <c r="V78" s="22">
        <f>T77*$B$63</f>
        <v>4.1917406609418935</v>
      </c>
      <c r="AA78" s="14"/>
      <c r="AB78" s="14"/>
      <c r="AC78" s="14"/>
      <c r="AD78" s="14"/>
      <c r="AE78" s="14"/>
      <c r="AF78" s="14"/>
      <c r="AG78" s="37"/>
      <c r="AH78" s="14"/>
      <c r="AI78" s="14"/>
      <c r="AJ78" s="14"/>
      <c r="AK78" s="38" t="s">
        <v>246</v>
      </c>
      <c r="AL78" s="15">
        <f>EXP(-$E$60*1/8) * (AN77*$B$64 + AN79*$B$65)</f>
        <v>0</v>
      </c>
      <c r="AM78" s="37"/>
      <c r="AN78" s="14"/>
      <c r="AO78" s="38" t="s">
        <v>247</v>
      </c>
      <c r="AP78" s="15">
        <f t="shared" ref="AP78" si="8">EXP(-$E$60*1/8) * (AR77*$B$64 + AR79*$B$65)</f>
        <v>0</v>
      </c>
      <c r="AQ78" s="37"/>
      <c r="AR78" s="14"/>
      <c r="BD78" s="36" t="s">
        <v>264</v>
      </c>
      <c r="BE78" s="15">
        <f>EXP(-$E$60*1/8) * (BG77*$B$64 + BG79*$B$65)</f>
        <v>3.3629464875672093</v>
      </c>
      <c r="BG78" s="14"/>
      <c r="BH78" s="36" t="s">
        <v>265</v>
      </c>
      <c r="BI78" s="15">
        <f>EXP(-$E$60*1/8) * (BK77*$B$64 + BK79*$B$65)</f>
        <v>3.5515004083010169</v>
      </c>
      <c r="BK78" s="14"/>
    </row>
    <row r="79" spans="1:63" x14ac:dyDescent="0.2">
      <c r="W79" s="23" t="s">
        <v>124</v>
      </c>
      <c r="X79" s="22">
        <f>V78*$B$63</f>
        <v>3.9328011835478209</v>
      </c>
      <c r="AA79" s="14"/>
      <c r="AB79" s="14"/>
      <c r="AC79" s="14"/>
      <c r="AD79" s="14"/>
      <c r="AE79" s="14"/>
      <c r="AF79" s="14"/>
      <c r="AG79" s="14"/>
      <c r="AH79" s="14"/>
      <c r="AI79" s="37"/>
      <c r="AJ79" s="14"/>
      <c r="AK79" s="14"/>
      <c r="AL79" s="14"/>
      <c r="AM79" s="38" t="s">
        <v>247</v>
      </c>
      <c r="AN79" s="15">
        <f t="shared" ref="AN79" si="9">EXP(-$E$60*1/8) * (AP78*$B$64 + AP80*$B$65)</f>
        <v>0</v>
      </c>
      <c r="AP79" s="14"/>
      <c r="AQ79" s="38" t="s">
        <v>248</v>
      </c>
      <c r="AR79" s="15">
        <f>MAX(X77-$B$1,0)</f>
        <v>0</v>
      </c>
      <c r="BF79" s="36" t="s">
        <v>265</v>
      </c>
      <c r="BG79" s="15">
        <f>EXP(-$E$60*1/8) * (BK77*$B$64 + BK79*$B$65)</f>
        <v>3.5515004083010169</v>
      </c>
      <c r="BI79" s="14"/>
      <c r="BJ79" s="36" t="s">
        <v>266</v>
      </c>
      <c r="BK79" s="15">
        <f>MAX($B$1 - X77,0)</f>
        <v>3.888946776849842</v>
      </c>
    </row>
    <row r="80" spans="1:63" x14ac:dyDescent="0.2"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37"/>
      <c r="AL80" s="14"/>
      <c r="AM80" s="37"/>
      <c r="AN80" s="14"/>
      <c r="AO80" s="38" t="s">
        <v>248</v>
      </c>
      <c r="AP80" s="15">
        <f t="shared" ref="AP80" si="10">EXP(-$E$60*1/8) * (AR79*$B$64 + AR81*$B$65)</f>
        <v>0</v>
      </c>
      <c r="BH80" s="36" t="s">
        <v>266</v>
      </c>
      <c r="BI80" s="15">
        <f>EXP(-$E$60*1/8) * (BK79*$B$64 + BK81*$B$65)</f>
        <v>4.1678251278961964</v>
      </c>
      <c r="BK80" s="14"/>
    </row>
    <row r="81" spans="1:63" x14ac:dyDescent="0.2">
      <c r="AQ81" s="38" t="s">
        <v>258</v>
      </c>
      <c r="AR81" s="15">
        <f>MAX(X79-$B$1,0)</f>
        <v>0</v>
      </c>
      <c r="BJ81" s="36" t="s">
        <v>267</v>
      </c>
      <c r="BK81" s="15">
        <f>MAX($B$1 - X79,0)</f>
        <v>4.4671988164521794</v>
      </c>
    </row>
    <row r="87" spans="1:63" s="48" customFormat="1" x14ac:dyDescent="0.2">
      <c r="A87" s="48" t="s">
        <v>125</v>
      </c>
    </row>
    <row r="88" spans="1:63" x14ac:dyDescent="0.2">
      <c r="F88" s="12" t="s">
        <v>9</v>
      </c>
    </row>
    <row r="89" spans="1:63" x14ac:dyDescent="0.2">
      <c r="A89" t="s">
        <v>128</v>
      </c>
      <c r="B89" s="33">
        <f>(POWER($B$3 + 1, 1/16) - 1) / (1/16)</f>
        <v>3.8555300411246662E-2</v>
      </c>
      <c r="F89" t="s">
        <v>47</v>
      </c>
    </row>
    <row r="90" spans="1:63" x14ac:dyDescent="0.2">
      <c r="A90" t="s">
        <v>4</v>
      </c>
      <c r="B90">
        <f>EXP(($B$89*(1/16)) + $B$7 * SQRT(1/16))</f>
        <v>1.0522278794196487</v>
      </c>
      <c r="F90" t="s">
        <v>54</v>
      </c>
      <c r="AS90" s="35"/>
    </row>
    <row r="91" spans="1:63" x14ac:dyDescent="0.2">
      <c r="A91" t="s">
        <v>3</v>
      </c>
      <c r="B91">
        <f>EXP(($B$89*(1/16)) - $B$7 * SQRT(1/16))</f>
        <v>0.95495573178817916</v>
      </c>
      <c r="AL91" s="23" t="s">
        <v>221</v>
      </c>
      <c r="AM91" s="22">
        <f>AK92*$B$90</f>
        <v>14.791021629918282</v>
      </c>
    </row>
    <row r="92" spans="1:63" x14ac:dyDescent="0.2">
      <c r="A92" t="s">
        <v>238</v>
      </c>
      <c r="B92">
        <f>(EXP(B89*1/16) - B91) / (B90-B91)</f>
        <v>0.48787737619366622</v>
      </c>
      <c r="AJ92" s="23" t="s">
        <v>205</v>
      </c>
      <c r="AK92" s="22">
        <f>AI93*$B$90</f>
        <v>14.056861559376472</v>
      </c>
      <c r="AS92" s="35"/>
    </row>
    <row r="93" spans="1:63" x14ac:dyDescent="0.2">
      <c r="A93" t="s">
        <v>239</v>
      </c>
      <c r="B93">
        <f>(B90 - EXP(B89*1/16)) / (B90-B91)</f>
        <v>0.51212262380633378</v>
      </c>
      <c r="AH93" s="23" t="s">
        <v>190</v>
      </c>
      <c r="AI93" s="22">
        <f>AG94*$B$90</f>
        <v>13.359141906722209</v>
      </c>
      <c r="AL93" s="23" t="s">
        <v>222</v>
      </c>
      <c r="AM93" s="22">
        <f>AK94*$B$90</f>
        <v>13.423680517079484</v>
      </c>
    </row>
    <row r="94" spans="1:63" x14ac:dyDescent="0.2">
      <c r="AF94" s="23" t="s">
        <v>176</v>
      </c>
      <c r="AG94" s="22">
        <f>AE95*$B$90</f>
        <v>12.696053932813852</v>
      </c>
      <c r="AJ94" s="23" t="s">
        <v>206</v>
      </c>
      <c r="AK94" s="22">
        <f>AI95*$B$90</f>
        <v>12.757389135596037</v>
      </c>
      <c r="AS94" s="35"/>
    </row>
    <row r="95" spans="1:63" x14ac:dyDescent="0.2">
      <c r="G95" s="12"/>
      <c r="H95" s="12"/>
      <c r="I95" s="12"/>
      <c r="AD95" s="23" t="s">
        <v>163</v>
      </c>
      <c r="AE95" s="22">
        <f>AC96*$B$90</f>
        <v>12.065878676220118</v>
      </c>
      <c r="AH95" s="23" t="s">
        <v>191</v>
      </c>
      <c r="AI95" s="22">
        <f>AG96*$B$90</f>
        <v>12.12416947423244</v>
      </c>
      <c r="AL95" s="23" t="s">
        <v>223</v>
      </c>
      <c r="AM95" s="22">
        <f>AK96*$B$90</f>
        <v>12.182741877689679</v>
      </c>
    </row>
    <row r="96" spans="1:63" x14ac:dyDescent="0.2">
      <c r="AB96" s="23" t="s">
        <v>151</v>
      </c>
      <c r="AC96" s="22">
        <f>AA97*$B$90</f>
        <v>11.466982497056623</v>
      </c>
      <c r="AF96" s="23" t="s">
        <v>177</v>
      </c>
      <c r="AG96" s="22">
        <f>AE97*$B$90</f>
        <v>11.522380000917167</v>
      </c>
      <c r="AJ96" s="23" t="s">
        <v>207</v>
      </c>
      <c r="AK96" s="22">
        <f>AI97*$B$90</f>
        <v>11.578045132589542</v>
      </c>
      <c r="AS96" s="35"/>
    </row>
    <row r="97" spans="6:45" x14ac:dyDescent="0.2">
      <c r="Z97" s="23" t="s">
        <v>140</v>
      </c>
      <c r="AA97" s="22">
        <f>Y98*$B$90</f>
        <v>10.897812842006413</v>
      </c>
      <c r="AD97" s="23" t="s">
        <v>164</v>
      </c>
      <c r="AE97" s="22">
        <f>AC98*$B$90</f>
        <v>10.950460661878948</v>
      </c>
      <c r="AH97" s="23" t="s">
        <v>192</v>
      </c>
      <c r="AI97" s="22">
        <f>AG98*$B$90</f>
        <v>11.003362825717332</v>
      </c>
      <c r="AL97" s="23" t="s">
        <v>224</v>
      </c>
      <c r="AM97" s="22">
        <f>AK98*$B$90</f>
        <v>11.056520562268611</v>
      </c>
    </row>
    <row r="98" spans="6:45" x14ac:dyDescent="0.2">
      <c r="X98" s="23" t="s">
        <v>130</v>
      </c>
      <c r="Y98" s="22">
        <f>W99*$B$90</f>
        <v>10.356894219545913</v>
      </c>
      <c r="AB98" s="23" t="s">
        <v>152</v>
      </c>
      <c r="AC98" s="22">
        <f>AA99*$B$90</f>
        <v>10.406928837428849</v>
      </c>
      <c r="AF98" s="23" t="s">
        <v>178</v>
      </c>
      <c r="AG98" s="22">
        <f>AE99*$B$90</f>
        <v>10.457205174782278</v>
      </c>
      <c r="AJ98" s="23" t="s">
        <v>208</v>
      </c>
      <c r="AK98" s="22">
        <f>AI99*$B$90</f>
        <v>10.507724399363742</v>
      </c>
      <c r="AS98" s="35"/>
    </row>
    <row r="99" spans="6:45" x14ac:dyDescent="0.2">
      <c r="V99" s="23" t="s">
        <v>116</v>
      </c>
      <c r="W99" s="22">
        <f>U100*$B$90</f>
        <v>9.8428243749426301</v>
      </c>
      <c r="Z99" s="23" t="s">
        <v>141</v>
      </c>
      <c r="AA99" s="22">
        <f>Y100*$B$90</f>
        <v>9.8903754984792283</v>
      </c>
      <c r="AD99" s="23" t="s">
        <v>165</v>
      </c>
      <c r="AE99" s="22">
        <f>AC100*$B$90</f>
        <v>9.9381563436143701</v>
      </c>
      <c r="AH99" s="23" t="s">
        <v>193</v>
      </c>
      <c r="AI99" s="22">
        <f>AG100*$B$90</f>
        <v>9.986168020143344</v>
      </c>
      <c r="AL99" s="23" t="s">
        <v>225</v>
      </c>
      <c r="AM99" s="22">
        <f>AK100*$B$90</f>
        <v>10.03441164322291</v>
      </c>
    </row>
    <row r="100" spans="6:45" x14ac:dyDescent="0.2">
      <c r="T100" s="23" t="s">
        <v>108</v>
      </c>
      <c r="U100" s="22">
        <f>S101*$B$90</f>
        <v>9.3542706551088468</v>
      </c>
      <c r="X100" s="23" t="s">
        <v>131</v>
      </c>
      <c r="Y100" s="22">
        <f>W101*$B$90</f>
        <v>9.3994615538358648</v>
      </c>
      <c r="AB100" s="23" t="s">
        <v>153</v>
      </c>
      <c r="AC100" s="22">
        <f>AA101*$B$90</f>
        <v>9.4448707718101073</v>
      </c>
      <c r="AF100" s="23" t="s">
        <v>179</v>
      </c>
      <c r="AG100" s="22">
        <f>AE101*$B$90</f>
        <v>9.4904993637415949</v>
      </c>
      <c r="AJ100" s="23" t="s">
        <v>209</v>
      </c>
      <c r="AK100" s="22">
        <f>AI101*$B$90</f>
        <v>9.5363483894357017</v>
      </c>
      <c r="AS100" s="35"/>
    </row>
    <row r="101" spans="6:45" x14ac:dyDescent="0.2">
      <c r="R101" s="23" t="s">
        <v>101</v>
      </c>
      <c r="S101" s="22">
        <f>Q102*$B$90</f>
        <v>8.8899665538876906</v>
      </c>
      <c r="V101" s="23" t="s">
        <v>117</v>
      </c>
      <c r="W101" s="22">
        <f>U102*$B$90</f>
        <v>8.9329143787941572</v>
      </c>
      <c r="Z101" s="23" t="s">
        <v>142</v>
      </c>
      <c r="AA101" s="22">
        <f>Y102*$B$90</f>
        <v>8.9760696865581835</v>
      </c>
      <c r="AD101" s="23" t="s">
        <v>166</v>
      </c>
      <c r="AE101" s="22">
        <f>AC102*$B$90</f>
        <v>9.019433479538705</v>
      </c>
      <c r="AH101" s="23" t="s">
        <v>194</v>
      </c>
      <c r="AI101" s="22">
        <f>AG102*$B$90</f>
        <v>9.0630067649371071</v>
      </c>
      <c r="AL101" s="23" t="s">
        <v>226</v>
      </c>
      <c r="AM101" s="22">
        <f>AK102*$B$90</f>
        <v>9.1067905548205896</v>
      </c>
    </row>
    <row r="102" spans="6:45" x14ac:dyDescent="0.2">
      <c r="P102" s="23" t="s">
        <v>95</v>
      </c>
      <c r="Q102" s="22">
        <f>O103*$B$90</f>
        <v>8.448708428815733</v>
      </c>
      <c r="T102" s="23" t="s">
        <v>109</v>
      </c>
      <c r="U102" s="22">
        <f>S103*$B$90</f>
        <v>8.4895245160402553</v>
      </c>
      <c r="X102" s="23" t="s">
        <v>132</v>
      </c>
      <c r="Y102" s="22">
        <f>W103*$B$90</f>
        <v>8.5305377876025226</v>
      </c>
      <c r="AB102" s="23" t="s">
        <v>154</v>
      </c>
      <c r="AC102" s="22">
        <f>AA103*$B$90</f>
        <v>8.5717491961088612</v>
      </c>
      <c r="AF102" s="23" t="s">
        <v>180</v>
      </c>
      <c r="AG102" s="22">
        <f>AE103*$B$90</f>
        <v>8.6131596987676904</v>
      </c>
      <c r="AJ102" s="23" t="s">
        <v>210</v>
      </c>
      <c r="AK102" s="22">
        <f>AI103*$B$90</f>
        <v>8.6547702574117285</v>
      </c>
      <c r="AS102" s="35"/>
    </row>
    <row r="103" spans="6:45" x14ac:dyDescent="0.2">
      <c r="N103" s="23" t="s">
        <v>82</v>
      </c>
      <c r="O103" s="22">
        <f>M104*$B$90</f>
        <v>8.0293523808507885</v>
      </c>
      <c r="R103" s="23" t="s">
        <v>102</v>
      </c>
      <c r="S103" s="22">
        <f>Q104*$B$90</f>
        <v>8.0681425403046845</v>
      </c>
      <c r="V103" s="23" t="s">
        <v>118</v>
      </c>
      <c r="W103" s="22">
        <f>U104*$B$90</f>
        <v>8.1071200967489094</v>
      </c>
      <c r="Z103" s="23" t="s">
        <v>143</v>
      </c>
      <c r="AA103" s="22">
        <f>Y104*$B$90</f>
        <v>8.1462859555066807</v>
      </c>
      <c r="AD103" s="23" t="s">
        <v>167</v>
      </c>
      <c r="AE103" s="22">
        <f>AC104*$B$90</f>
        <v>8.185641026274876</v>
      </c>
      <c r="AH103" s="23" t="s">
        <v>195</v>
      </c>
      <c r="AI103" s="22">
        <f>AG104*$B$90</f>
        <v>8.2251862231451476</v>
      </c>
      <c r="AL103" s="23" t="s">
        <v>227</v>
      </c>
      <c r="AM103" s="22">
        <f>AK104*$B$90</f>
        <v>8.2649224646251866</v>
      </c>
    </row>
    <row r="104" spans="6:45" x14ac:dyDescent="0.2">
      <c r="L104" s="15" t="s">
        <v>78</v>
      </c>
      <c r="M104" s="22">
        <f>K105*$B$90</f>
        <v>7.6308112889760524</v>
      </c>
      <c r="P104" s="23" t="s">
        <v>96</v>
      </c>
      <c r="Q104" s="22">
        <f>O105*$B$90</f>
        <v>7.6676760786405227</v>
      </c>
      <c r="T104" s="23" t="s">
        <v>110</v>
      </c>
      <c r="U104" s="22">
        <f>S105*$B$90</f>
        <v>7.7047189637479976</v>
      </c>
      <c r="X104" s="23" t="s">
        <v>133</v>
      </c>
      <c r="Y104" s="22">
        <f>W105*$B$90</f>
        <v>7.741940804685508</v>
      </c>
      <c r="AB104" s="23" t="s">
        <v>155</v>
      </c>
      <c r="AC104" s="22">
        <f>AA105*$B$90</f>
        <v>7.7793424659966499</v>
      </c>
      <c r="AF104" s="23" t="s">
        <v>181</v>
      </c>
      <c r="AG104" s="22">
        <f>AE105*$B$90</f>
        <v>7.8169248164016629</v>
      </c>
      <c r="AJ104" s="23" t="s">
        <v>211</v>
      </c>
      <c r="AK104" s="22">
        <f>AI105*$B$90</f>
        <v>7.8546887288176261</v>
      </c>
      <c r="AS104" s="35"/>
    </row>
    <row r="105" spans="6:45" x14ac:dyDescent="0.2">
      <c r="F105" s="14"/>
      <c r="H105" s="14"/>
      <c r="J105" s="15" t="s">
        <v>51</v>
      </c>
      <c r="K105" s="22">
        <f>I106*$B$90</f>
        <v>7.2520519919932083</v>
      </c>
      <c r="N105" s="23" t="s">
        <v>83</v>
      </c>
      <c r="O105" s="22">
        <f>M106*$B$90</f>
        <v>7.287086978601625</v>
      </c>
      <c r="R105" s="23" t="s">
        <v>103</v>
      </c>
      <c r="S105" s="22">
        <f>Q106*$B$90</f>
        <v>7.3222912207928754</v>
      </c>
      <c r="V105" s="23" t="s">
        <v>119</v>
      </c>
      <c r="W105" s="22">
        <f>U106*$B$90</f>
        <v>7.3576655362482306</v>
      </c>
      <c r="Z105" s="23" t="s">
        <v>144</v>
      </c>
      <c r="AA105" s="22">
        <f>Y106*$B$90</f>
        <v>7.3932107465992152</v>
      </c>
      <c r="AD105" s="23" t="s">
        <v>168</v>
      </c>
      <c r="AE105" s="22">
        <f>AC106*$B$90</f>
        <v>7.428927677446687</v>
      </c>
      <c r="AH105" s="23" t="s">
        <v>196</v>
      </c>
      <c r="AI105" s="22">
        <f>AG106*$B$90</f>
        <v>7.4648171583800291</v>
      </c>
      <c r="AL105" s="23" t="s">
        <v>228</v>
      </c>
      <c r="AM105" s="22">
        <f>AK106*$B$90</f>
        <v>7.5008800229963981</v>
      </c>
    </row>
    <row r="106" spans="6:45" x14ac:dyDescent="0.2">
      <c r="F106" s="14"/>
      <c r="H106" s="15" t="s">
        <v>49</v>
      </c>
      <c r="I106" s="22">
        <f>G107*$B$90</f>
        <v>6.8920926101986986</v>
      </c>
      <c r="J106" s="19" t="s">
        <v>56</v>
      </c>
      <c r="K106" s="20">
        <f>I107*I107</f>
        <v>0.27659949619834717</v>
      </c>
      <c r="L106" s="15" t="s">
        <v>79</v>
      </c>
      <c r="M106" s="22">
        <f>K107*$B$90</f>
        <v>6.9253886169797969</v>
      </c>
      <c r="P106" s="23" t="s">
        <v>97</v>
      </c>
      <c r="Q106" s="22">
        <f>O107*$B$90</f>
        <v>6.9588454782546254</v>
      </c>
      <c r="T106" s="23" t="s">
        <v>111</v>
      </c>
      <c r="U106" s="22">
        <f>S107*$B$90</f>
        <v>6.9924639711184202</v>
      </c>
      <c r="X106" s="23" t="s">
        <v>134</v>
      </c>
      <c r="Y106" s="22">
        <f>W107*$B$90</f>
        <v>7.0262448764205958</v>
      </c>
      <c r="AB106" s="23" t="s">
        <v>156</v>
      </c>
      <c r="AC106" s="22">
        <f>AA107*$B$90</f>
        <v>7.0601889787828824</v>
      </c>
      <c r="AF106" s="23" t="s">
        <v>182</v>
      </c>
      <c r="AG106" s="22">
        <f>AE107*$B$90</f>
        <v>7.0942970666175595</v>
      </c>
      <c r="AJ106" s="23" t="s">
        <v>212</v>
      </c>
      <c r="AK106" s="22">
        <f>AI107*$B$90</f>
        <v>7.1285699321457567</v>
      </c>
      <c r="AS106" s="35"/>
    </row>
    <row r="107" spans="6:45" x14ac:dyDescent="0.2">
      <c r="F107" s="15" t="s">
        <v>48</v>
      </c>
      <c r="G107" s="22">
        <f>$B$2</f>
        <v>6.55</v>
      </c>
      <c r="H107" s="17" t="s">
        <v>55</v>
      </c>
      <c r="I107" s="16">
        <f>$H$19</f>
        <v>0.5259272727272728</v>
      </c>
      <c r="J107" s="15" t="s">
        <v>52</v>
      </c>
      <c r="K107" s="22">
        <f>I108*$B$90</f>
        <v>6.5816433421242007</v>
      </c>
      <c r="N107" s="23" t="s">
        <v>84</v>
      </c>
      <c r="O107" s="22">
        <f>M108*$B$90</f>
        <v>6.613439554645467</v>
      </c>
      <c r="R107" s="23" t="s">
        <v>104</v>
      </c>
      <c r="S107" s="22">
        <f>Q108*$B$90</f>
        <v>6.6453893760875076</v>
      </c>
      <c r="V107" s="23" t="s">
        <v>120</v>
      </c>
      <c r="W107" s="22">
        <f>U108*$B$90</f>
        <v>6.6774935485418689</v>
      </c>
      <c r="Z107" s="23" t="s">
        <v>145</v>
      </c>
      <c r="AA107" s="22">
        <f>Y108*$B$90</f>
        <v>6.7097528176851728</v>
      </c>
      <c r="AD107" s="23" t="s">
        <v>169</v>
      </c>
      <c r="AE107" s="22">
        <f>AC108*$B$90</f>
        <v>6.7421679327964448</v>
      </c>
      <c r="AH107" s="23" t="s">
        <v>197</v>
      </c>
      <c r="AI107" s="22">
        <f>AG108*$B$90</f>
        <v>6.7747396467745045</v>
      </c>
      <c r="AL107" s="23" t="s">
        <v>229</v>
      </c>
      <c r="AM107" s="22">
        <f>AK108*$B$90</f>
        <v>6.8074687161554603</v>
      </c>
    </row>
    <row r="108" spans="6:45" x14ac:dyDescent="0.2">
      <c r="F108" s="14"/>
      <c r="H108" s="15" t="s">
        <v>50</v>
      </c>
      <c r="I108" s="22">
        <f>G107*$B$91</f>
        <v>6.2549600432125736</v>
      </c>
      <c r="J108" s="19" t="s">
        <v>58</v>
      </c>
      <c r="K108" s="20">
        <f>2*I107*(1-I107)</f>
        <v>0.49865555305785125</v>
      </c>
      <c r="L108" s="15" t="s">
        <v>80</v>
      </c>
      <c r="M108" s="22">
        <f>K109*$B$90</f>
        <v>6.2851780341470125</v>
      </c>
      <c r="P108" s="23" t="s">
        <v>98</v>
      </c>
      <c r="Q108" s="22">
        <f>O109*$B$90</f>
        <v>6.3155420095433517</v>
      </c>
      <c r="T108" s="23" t="s">
        <v>112</v>
      </c>
      <c r="U108" s="22">
        <f>S109*$B$90</f>
        <v>6.3460526746590373</v>
      </c>
      <c r="X108" s="23" t="s">
        <v>135</v>
      </c>
      <c r="Y108" s="22">
        <f>W109*$B$90</f>
        <v>6.3767107381586445</v>
      </c>
      <c r="AB108" s="23" t="s">
        <v>157</v>
      </c>
      <c r="AC108" s="22">
        <f>AA109*$B$90</f>
        <v>6.4075169121303412</v>
      </c>
      <c r="AF108" s="23" t="s">
        <v>183</v>
      </c>
      <c r="AG108" s="22">
        <f>AE109*$B$90</f>
        <v>6.4384719121024245</v>
      </c>
      <c r="AJ108" s="23" t="s">
        <v>213</v>
      </c>
      <c r="AK108" s="22">
        <f>AI109*$B$90</f>
        <v>6.4695764570599357</v>
      </c>
      <c r="AS108" s="35"/>
    </row>
    <row r="109" spans="6:45" x14ac:dyDescent="0.2">
      <c r="F109" s="14"/>
      <c r="H109" s="18" t="s">
        <v>41</v>
      </c>
      <c r="I109" s="16">
        <f>$H$20</f>
        <v>0.4740727272727272</v>
      </c>
      <c r="J109" s="15" t="s">
        <v>53</v>
      </c>
      <c r="K109" s="22">
        <f>I108*$B$91</f>
        <v>5.9732099453718837</v>
      </c>
      <c r="N109" s="23" t="s">
        <v>85</v>
      </c>
      <c r="O109" s="22">
        <f>M110*$B$90</f>
        <v>6.0020667890178494</v>
      </c>
      <c r="R109" s="23" t="s">
        <v>105</v>
      </c>
      <c r="S109" s="22">
        <f>Q110*$B$90</f>
        <v>6.0310630413624589</v>
      </c>
      <c r="V109" s="23" t="s">
        <v>121</v>
      </c>
      <c r="W109" s="22">
        <f>U110*$B$90</f>
        <v>6.0601993758953521</v>
      </c>
      <c r="Z109" s="23" t="s">
        <v>146</v>
      </c>
      <c r="AA109" s="22">
        <f>Y110*$B$90</f>
        <v>6.0894764693598278</v>
      </c>
      <c r="AD109" s="23" t="s">
        <v>170</v>
      </c>
      <c r="AE109" s="22">
        <f>AC110*$B$90</f>
        <v>6.118895001768565</v>
      </c>
      <c r="AH109" s="23" t="s">
        <v>198</v>
      </c>
      <c r="AI109" s="22">
        <f>AG110*$B$90</f>
        <v>6.1484556564194062</v>
      </c>
      <c r="AL109" s="23" t="s">
        <v>230</v>
      </c>
      <c r="AM109" s="22">
        <f>AK110*$B$90</f>
        <v>6.1781591199112453</v>
      </c>
    </row>
    <row r="110" spans="6:45" x14ac:dyDescent="0.2">
      <c r="J110" s="21" t="s">
        <v>57</v>
      </c>
      <c r="K110" s="20">
        <f>I109*I109</f>
        <v>0.22474495074380157</v>
      </c>
      <c r="L110" s="15" t="s">
        <v>81</v>
      </c>
      <c r="M110" s="22">
        <f>K109*$B$91</f>
        <v>5.7041510745070365</v>
      </c>
      <c r="P110" s="23" t="s">
        <v>100</v>
      </c>
      <c r="Q110" s="22">
        <f>O111*$B$90</f>
        <v>5.7317080827480673</v>
      </c>
      <c r="T110" s="23" t="s">
        <v>113</v>
      </c>
      <c r="U110" s="22">
        <f>S111*$B$90</f>
        <v>5.7593982201249281</v>
      </c>
      <c r="X110" s="23" t="s">
        <v>136</v>
      </c>
      <c r="Y110" s="22">
        <f>W111*$B$90</f>
        <v>5.7872221297904121</v>
      </c>
      <c r="AB110" s="23" t="s">
        <v>158</v>
      </c>
      <c r="AC110" s="22">
        <f>AA111*$B$90</f>
        <v>5.8151804580044129</v>
      </c>
      <c r="AF110" s="23" t="s">
        <v>184</v>
      </c>
      <c r="AG110" s="22">
        <f>AE111*$B$90</f>
        <v>5.8432738541489302</v>
      </c>
      <c r="AJ110" s="23" t="s">
        <v>214</v>
      </c>
      <c r="AK110" s="22">
        <f>AI111*$B$90</f>
        <v>5.8715029707431627</v>
      </c>
    </row>
    <row r="111" spans="6:45" x14ac:dyDescent="0.2">
      <c r="N111" s="23" t="s">
        <v>86</v>
      </c>
      <c r="O111" s="22">
        <f>M110*$B$91</f>
        <v>5.4472117635861954</v>
      </c>
      <c r="R111" s="23" t="s">
        <v>106</v>
      </c>
      <c r="S111" s="22">
        <f>Q112*$B$90</f>
        <v>5.4735274865569012</v>
      </c>
      <c r="V111" s="23" t="s">
        <v>122</v>
      </c>
      <c r="W111" s="22">
        <f>U112*$B$90</f>
        <v>5.499970341958937</v>
      </c>
      <c r="Z111" s="23" t="s">
        <v>147</v>
      </c>
      <c r="AA111" s="22">
        <f>Y112*$B$90</f>
        <v>5.5265409439747479</v>
      </c>
      <c r="AD111" s="23" t="s">
        <v>171</v>
      </c>
      <c r="AE111" s="22">
        <f>AC112*$B$90</f>
        <v>5.5532399097539216</v>
      </c>
      <c r="AH111" s="23" t="s">
        <v>199</v>
      </c>
      <c r="AI111" s="22">
        <f>AG112*$B$90</f>
        <v>5.5800678594275253</v>
      </c>
      <c r="AL111" s="23" t="s">
        <v>231</v>
      </c>
      <c r="AM111" s="22">
        <f>AK112*$B$90</f>
        <v>5.6070254161225055</v>
      </c>
    </row>
    <row r="112" spans="6:45" x14ac:dyDescent="0.2">
      <c r="P112" s="23" t="s">
        <v>99</v>
      </c>
      <c r="Q112" s="22">
        <f>O111*$B$91</f>
        <v>5.201846095900633</v>
      </c>
      <c r="T112" s="23" t="s">
        <v>114</v>
      </c>
      <c r="U112" s="22">
        <f>S113*$B$90</f>
        <v>5.2269764463876589</v>
      </c>
      <c r="X112" s="23" t="s">
        <v>137</v>
      </c>
      <c r="Y112" s="22">
        <f>W113*$B$90</f>
        <v>5.2522282027186789</v>
      </c>
      <c r="AB112" s="23" t="s">
        <v>159</v>
      </c>
      <c r="AC112" s="22">
        <f>AA113*$B$90</f>
        <v>5.2776019514107393</v>
      </c>
      <c r="AF112" s="23" t="s">
        <v>185</v>
      </c>
      <c r="AG112" s="22">
        <f>AE113*$B$90</f>
        <v>5.3030982818143775</v>
      </c>
      <c r="AJ112" s="23" t="s">
        <v>215</v>
      </c>
      <c r="AK112" s="22">
        <f>AI113*$B$90</f>
        <v>5.328717786127311</v>
      </c>
    </row>
    <row r="113" spans="6:39" x14ac:dyDescent="0.2">
      <c r="R113" s="23" t="s">
        <v>107</v>
      </c>
      <c r="S113" s="22">
        <f>Q112*$B$91</f>
        <v>4.9675327451602715</v>
      </c>
      <c r="V113" s="23" t="s">
        <v>123</v>
      </c>
      <c r="W113" s="22">
        <f>U114*$B$90</f>
        <v>4.9915311173997026</v>
      </c>
      <c r="Z113" s="23" t="s">
        <v>148</v>
      </c>
      <c r="AA113" s="22">
        <f>Y114*$B$90</f>
        <v>5.0156454268457287</v>
      </c>
      <c r="AD113" s="23" t="s">
        <v>172</v>
      </c>
      <c r="AE113" s="22">
        <f>AC114*$B$90</f>
        <v>5.0398762335961642</v>
      </c>
      <c r="AH113" s="23" t="s">
        <v>200</v>
      </c>
      <c r="AI113" s="22">
        <f>AG114*$B$90</f>
        <v>5.0642241004546849</v>
      </c>
      <c r="AL113" s="23" t="s">
        <v>232</v>
      </c>
      <c r="AM113" s="22">
        <f>AK114*$B$90</f>
        <v>5.0886895929438936</v>
      </c>
    </row>
    <row r="114" spans="6:39" x14ac:dyDescent="0.2">
      <c r="T114" s="23" t="s">
        <v>115</v>
      </c>
      <c r="U114" s="22">
        <f>S113*$B$91</f>
        <v>4.7437738678362695</v>
      </c>
      <c r="X114" s="23" t="s">
        <v>138</v>
      </c>
      <c r="Y114" s="22">
        <f>W115*$B$90</f>
        <v>4.7666912509599006</v>
      </c>
      <c r="AB114" s="23" t="s">
        <v>160</v>
      </c>
      <c r="AC114" s="22">
        <f>AA115*$B$90</f>
        <v>4.7897193489834962</v>
      </c>
      <c r="AF114" s="23" t="s">
        <v>186</v>
      </c>
      <c r="AG114" s="22">
        <f>AE115*$B$90</f>
        <v>4.8128586967756775</v>
      </c>
      <c r="AJ114" s="23" t="s">
        <v>216</v>
      </c>
      <c r="AK114" s="22">
        <f>AI115*$B$90</f>
        <v>4.8361098317890381</v>
      </c>
    </row>
    <row r="115" spans="6:39" x14ac:dyDescent="0.2">
      <c r="V115" s="23" t="s">
        <v>124</v>
      </c>
      <c r="W115" s="22">
        <f>U114*$B$91</f>
        <v>4.5300940453972256</v>
      </c>
      <c r="Z115" s="23" t="s">
        <v>149</v>
      </c>
      <c r="AA115" s="22">
        <f>Y116*$B$90</f>
        <v>4.5519791317687224</v>
      </c>
      <c r="AD115" s="23" t="s">
        <v>173</v>
      </c>
      <c r="AE115" s="22">
        <f>AC116*$B$90</f>
        <v>4.5739699459685355</v>
      </c>
      <c r="AH115" s="23" t="s">
        <v>201</v>
      </c>
      <c r="AI115" s="22">
        <f>AG116*$B$90</f>
        <v>4.5960669987725202</v>
      </c>
      <c r="AL115" s="23" t="s">
        <v>233</v>
      </c>
      <c r="AM115" s="22">
        <f>AK116*$B$90</f>
        <v>4.6182708034241085</v>
      </c>
    </row>
    <row r="116" spans="6:39" x14ac:dyDescent="0.2">
      <c r="X116" s="23" t="s">
        <v>139</v>
      </c>
      <c r="Y116" s="22">
        <f>W115*$B$91</f>
        <v>4.3260392741915803</v>
      </c>
      <c r="AB116" s="23" t="s">
        <v>161</v>
      </c>
      <c r="AC116" s="22">
        <f>AA117*$B$90</f>
        <v>4.3469385628627206</v>
      </c>
      <c r="AF116" s="23" t="s">
        <v>187</v>
      </c>
      <c r="AG116" s="22">
        <f>AE117*$B$90</f>
        <v>4.3679388169295219</v>
      </c>
      <c r="AJ116" s="23" t="s">
        <v>217</v>
      </c>
      <c r="AK116" s="22">
        <f>AI117*$B$90</f>
        <v>4.3890405241603121</v>
      </c>
    </row>
    <row r="117" spans="6:39" x14ac:dyDescent="0.2">
      <c r="Z117" s="23" t="s">
        <v>150</v>
      </c>
      <c r="AA117" s="22">
        <f>Y116*$B$91</f>
        <v>4.131176000830024</v>
      </c>
      <c r="AD117" s="23" t="s">
        <v>174</v>
      </c>
      <c r="AE117" s="22">
        <f>AC118*$B$90</f>
        <v>4.1511338963368258</v>
      </c>
      <c r="AH117" s="23" t="s">
        <v>202</v>
      </c>
      <c r="AI117" s="22">
        <f>AG118*$B$90</f>
        <v>4.1711882093269255</v>
      </c>
      <c r="AL117" s="23" t="s">
        <v>234</v>
      </c>
      <c r="AM117" s="22">
        <f>AK118*$B$90</f>
        <v>4.1913394055974837</v>
      </c>
    </row>
    <row r="118" spans="6:39" x14ac:dyDescent="0.2">
      <c r="AB118" s="23" t="s">
        <v>162</v>
      </c>
      <c r="AC118" s="22">
        <f>AA117*$B$91</f>
        <v>3.9450902010183992</v>
      </c>
      <c r="AF118" s="23" t="s">
        <v>188</v>
      </c>
      <c r="AG118" s="22">
        <f>AE119*$B$90</f>
        <v>3.964149107727049</v>
      </c>
      <c r="AJ118" s="23" t="s">
        <v>218</v>
      </c>
      <c r="AK118" s="22">
        <f>AI119*$B$90</f>
        <v>3.9833000888640182</v>
      </c>
    </row>
    <row r="119" spans="6:39" x14ac:dyDescent="0.2">
      <c r="AD119" s="23" t="s">
        <v>175</v>
      </c>
      <c r="AE119" s="22">
        <f>AC118*$B$91</f>
        <v>3.7673864998839002</v>
      </c>
      <c r="AH119" s="23" t="s">
        <v>203</v>
      </c>
      <c r="AI119" s="22">
        <f>AG120*$B$90</f>
        <v>3.7855869120869414</v>
      </c>
      <c r="AL119" s="23" t="s">
        <v>235</v>
      </c>
      <c r="AM119" s="22">
        <f>AK120*$B$90</f>
        <v>3.8038752512930576</v>
      </c>
    </row>
    <row r="120" spans="6:39" x14ac:dyDescent="0.2">
      <c r="AF120" s="23" t="s">
        <v>189</v>
      </c>
      <c r="AG120" s="22">
        <f>AE119*$B$91</f>
        <v>3.5976873319255369</v>
      </c>
      <c r="AJ120" s="23" t="s">
        <v>219</v>
      </c>
      <c r="AK120" s="22">
        <f>AI121*$B$90</f>
        <v>3.6150679198797384</v>
      </c>
    </row>
    <row r="121" spans="6:39" x14ac:dyDescent="0.2">
      <c r="AH121" s="23" t="s">
        <v>204</v>
      </c>
      <c r="AI121" s="22">
        <f>AG120*$B$91</f>
        <v>3.4356321388040127</v>
      </c>
      <c r="AL121" s="23" t="s">
        <v>236</v>
      </c>
      <c r="AM121" s="22">
        <f>AK122*$B$90</f>
        <v>3.4522298308927266</v>
      </c>
    </row>
    <row r="122" spans="6:39" x14ac:dyDescent="0.2">
      <c r="F122" s="12" t="s">
        <v>16</v>
      </c>
      <c r="G122" s="12"/>
      <c r="H122" s="12"/>
      <c r="I122" s="12"/>
      <c r="AJ122" s="23" t="s">
        <v>220</v>
      </c>
      <c r="AK122" s="22">
        <f>AI121*$B$91</f>
        <v>3.2808766032665733</v>
      </c>
    </row>
    <row r="123" spans="6:39" x14ac:dyDescent="0.2">
      <c r="F123" t="s">
        <v>62</v>
      </c>
      <c r="AL123" s="23" t="s">
        <v>237</v>
      </c>
      <c r="AM123" s="22">
        <f>AK122*$B$91</f>
        <v>3.1330919175791458</v>
      </c>
    </row>
    <row r="125" spans="6:39" x14ac:dyDescent="0.2">
      <c r="F125" s="45" t="s">
        <v>250</v>
      </c>
      <c r="G125" s="46"/>
      <c r="H125" s="45" t="s">
        <v>269</v>
      </c>
      <c r="I125" s="46"/>
      <c r="J125" s="45" t="s">
        <v>270</v>
      </c>
      <c r="K125" s="46"/>
      <c r="L125" s="45" t="s">
        <v>271</v>
      </c>
      <c r="M125" s="46"/>
      <c r="N125" s="45" t="s">
        <v>272</v>
      </c>
      <c r="O125" s="46"/>
      <c r="P125" s="45" t="s">
        <v>273</v>
      </c>
      <c r="Q125" s="46"/>
      <c r="R125" s="45" t="s">
        <v>274</v>
      </c>
      <c r="S125" s="46"/>
      <c r="T125" s="45" t="s">
        <v>275</v>
      </c>
      <c r="U125" s="46"/>
      <c r="V125" s="40" t="s">
        <v>276</v>
      </c>
      <c r="W125" s="41"/>
      <c r="X125" s="40" t="s">
        <v>277</v>
      </c>
      <c r="Y125" s="41"/>
      <c r="Z125" s="40" t="s">
        <v>278</v>
      </c>
      <c r="AA125" s="41"/>
      <c r="AB125" s="40" t="s">
        <v>279</v>
      </c>
      <c r="AC125" s="41"/>
      <c r="AD125" s="40" t="s">
        <v>280</v>
      </c>
      <c r="AE125" s="41"/>
      <c r="AF125" s="40" t="s">
        <v>281</v>
      </c>
      <c r="AG125" s="41"/>
      <c r="AH125" s="40" t="s">
        <v>282</v>
      </c>
      <c r="AI125" s="41"/>
      <c r="AJ125" s="40" t="s">
        <v>283</v>
      </c>
      <c r="AK125" s="41"/>
      <c r="AL125" s="40" t="s">
        <v>249</v>
      </c>
      <c r="AM125" s="47"/>
    </row>
    <row r="127" spans="6:39" x14ac:dyDescent="0.2">
      <c r="AL127" s="36" t="s">
        <v>284</v>
      </c>
      <c r="AM127" s="22">
        <f>MAX(AM91-$B$1,0)</f>
        <v>6.3910216299182814</v>
      </c>
    </row>
    <row r="128" spans="6:39" x14ac:dyDescent="0.2">
      <c r="AJ128" s="36" t="s">
        <v>284</v>
      </c>
      <c r="AK128" s="22">
        <f>EXP(-$B$89*1/16) * (AM127*$B$92 + AM129*$B$93)</f>
        <v>5.6770787235957405</v>
      </c>
    </row>
    <row r="129" spans="6:39" x14ac:dyDescent="0.2">
      <c r="AH129" s="36" t="s">
        <v>284</v>
      </c>
      <c r="AI129" s="22">
        <f>EXP(-$B$89*1/16) * (AK128*$B$92 + AK130*$B$93)</f>
        <v>4.9995275763834748</v>
      </c>
      <c r="AL129" s="36" t="s">
        <v>241</v>
      </c>
      <c r="AM129" s="22">
        <f>MAX(AM93-$B$1,0)</f>
        <v>5.0236805170794838</v>
      </c>
    </row>
    <row r="130" spans="6:39" x14ac:dyDescent="0.2">
      <c r="AF130" s="36" t="s">
        <v>284</v>
      </c>
      <c r="AG130" s="22">
        <f>EXP(-$B$89*1/16) * (AI129*$B$92 + AI131*$B$93)</f>
        <v>4.3565595662520442</v>
      </c>
      <c r="AJ130" s="36" t="s">
        <v>241</v>
      </c>
      <c r="AK130" s="22">
        <f t="shared" ref="I130:AK144" si="11">EXP(-$B$89*1/16) * (AM129*$B$92 + AM131*$B$93)</f>
        <v>4.3776062998153042</v>
      </c>
    </row>
    <row r="131" spans="6:39" x14ac:dyDescent="0.2">
      <c r="AD131" s="36" t="s">
        <v>284</v>
      </c>
      <c r="AE131" s="22">
        <f>EXP(-$B$89*1/16) * (AG130*$B$92 + AG132*$B$93)</f>
        <v>3.7464558486005046</v>
      </c>
      <c r="AH131" s="36" t="s">
        <v>241</v>
      </c>
      <c r="AI131" s="22">
        <f t="shared" si="11"/>
        <v>3.7645551438937042</v>
      </c>
      <c r="AL131" s="36" t="s">
        <v>243</v>
      </c>
      <c r="AM131" s="22">
        <f>MAX(AM95-$B$1,0)</f>
        <v>3.7827418776896788</v>
      </c>
    </row>
    <row r="132" spans="6:39" x14ac:dyDescent="0.2">
      <c r="AB132" s="36" t="s">
        <v>284</v>
      </c>
      <c r="AC132" s="22">
        <f>EXP(-$B$89*1/16) * (AE131*$B$92 + AE133*$B$93)</f>
        <v>3.1675829000936178</v>
      </c>
      <c r="AF132" s="36" t="s">
        <v>241</v>
      </c>
      <c r="AG132" s="22">
        <f t="shared" si="11"/>
        <v>3.18288563435536</v>
      </c>
      <c r="AJ132" s="36" t="s">
        <v>243</v>
      </c>
      <c r="AK132" s="22">
        <f t="shared" ref="K132:AK145" si="12">EXP(-$B$89*1/16) * (AM131*$B$92 + AM133*$B$93)</f>
        <v>3.1982622968088092</v>
      </c>
    </row>
    <row r="133" spans="6:39" x14ac:dyDescent="0.2">
      <c r="Z133" s="36" t="s">
        <v>284</v>
      </c>
      <c r="AA133" s="22">
        <f>EXP(-$B$89*1/16) * (AC132*$B$92 + AC134*$B$93)</f>
        <v>2.6207901441078381</v>
      </c>
      <c r="AD133" s="36" t="s">
        <v>241</v>
      </c>
      <c r="AE133" s="22">
        <f t="shared" si="11"/>
        <v>2.6310378342593355</v>
      </c>
      <c r="AH133" s="36" t="s">
        <v>243</v>
      </c>
      <c r="AI133" s="22">
        <f t="shared" si="12"/>
        <v>2.6437484953785977</v>
      </c>
      <c r="AL133" s="36" t="s">
        <v>285</v>
      </c>
      <c r="AM133" s="22">
        <f>MAX(AM97-$B$1,0)</f>
        <v>2.6565205622686108</v>
      </c>
    </row>
    <row r="134" spans="6:39" x14ac:dyDescent="0.2">
      <c r="X134" s="36" t="s">
        <v>284</v>
      </c>
      <c r="Y134" s="22">
        <f>EXP(-$B$89*1/16) * (AA133*$B$92 + AA135*$B$93)</f>
        <v>2.1137474621675043</v>
      </c>
      <c r="AB134" s="36" t="s">
        <v>241</v>
      </c>
      <c r="AC134" s="22">
        <f t="shared" si="11"/>
        <v>2.1122305660273759</v>
      </c>
      <c r="AF134" s="36" t="s">
        <v>243</v>
      </c>
      <c r="AG134" s="22">
        <f t="shared" si="12"/>
        <v>2.1177108082204716</v>
      </c>
      <c r="AJ134" s="36" t="s">
        <v>285</v>
      </c>
      <c r="AK134" s="22">
        <f t="shared" ref="M134:AK146" si="13">EXP(-$B$89*1/16) * (AM133*$B$92 + AM135*$B$93)</f>
        <v>2.1279415635830103</v>
      </c>
    </row>
    <row r="135" spans="6:39" x14ac:dyDescent="0.2">
      <c r="V135" s="36" t="s">
        <v>284</v>
      </c>
      <c r="W135" s="22">
        <f>EXP(-$B$89*1/16) * (Y134*$B$92 + Y136*$B$93)</f>
        <v>1.65833021811711</v>
      </c>
      <c r="Z135" s="36" t="s">
        <v>241</v>
      </c>
      <c r="AA135" s="22">
        <f t="shared" si="11"/>
        <v>1.6406674035416968</v>
      </c>
      <c r="AD135" s="36" t="s">
        <v>243</v>
      </c>
      <c r="AE135" s="22">
        <f t="shared" si="12"/>
        <v>1.6279357418225122</v>
      </c>
      <c r="AH135" s="36" t="s">
        <v>285</v>
      </c>
      <c r="AI135" s="22">
        <f t="shared" si="13"/>
        <v>1.6265536898046091</v>
      </c>
      <c r="AL135" s="36" t="s">
        <v>244</v>
      </c>
      <c r="AM135" s="22">
        <f>MAX(AM99-$B$1,0)</f>
        <v>1.6344116432229097</v>
      </c>
    </row>
    <row r="136" spans="6:39" x14ac:dyDescent="0.2">
      <c r="T136" s="36" t="s">
        <v>284</v>
      </c>
      <c r="U136" s="22">
        <f>EXP(-$B$89*1/16) * (W135*$B$92 + W137*$B$93)</f>
        <v>1.2650403573991187</v>
      </c>
      <c r="X136" s="36" t="s">
        <v>241</v>
      </c>
      <c r="Y136" s="22">
        <f t="shared" si="11"/>
        <v>1.2322860391361314</v>
      </c>
      <c r="AB136" s="36" t="s">
        <v>243</v>
      </c>
      <c r="AC136" s="22">
        <f t="shared" si="12"/>
        <v>1.1991584872657348</v>
      </c>
      <c r="AF136" s="36" t="s">
        <v>285</v>
      </c>
      <c r="AG136" s="22">
        <f t="shared" si="13"/>
        <v>1.1690171427069767</v>
      </c>
      <c r="AJ136" s="36" t="s">
        <v>244</v>
      </c>
      <c r="AK136" s="22">
        <f t="shared" ref="O136:AK147" si="14">EXP(-$B$89*1/16) * (AM135*$B$92 + AM137*$B$93)</f>
        <v>1.1565655536549664</v>
      </c>
    </row>
    <row r="137" spans="6:39" x14ac:dyDescent="0.2">
      <c r="R137" s="36" t="s">
        <v>284</v>
      </c>
      <c r="S137" s="22">
        <f>EXP(-$B$89*1/16) * (U136*$B$92 + U138*$B$93)</f>
        <v>0.93907580517643141</v>
      </c>
      <c r="V137" s="36" t="s">
        <v>241</v>
      </c>
      <c r="W137" s="22">
        <f t="shared" si="11"/>
        <v>0.89632949584405441</v>
      </c>
      <c r="Z137" s="36" t="s">
        <v>243</v>
      </c>
      <c r="AA137" s="22">
        <f t="shared" si="12"/>
        <v>0.84904384009337963</v>
      </c>
      <c r="AD137" s="36" t="s">
        <v>285</v>
      </c>
      <c r="AE137" s="22">
        <f t="shared" si="13"/>
        <v>0.79632992973501648</v>
      </c>
      <c r="AH137" s="36" t="s">
        <v>244</v>
      </c>
      <c r="AI137" s="22">
        <f t="shared" si="14"/>
        <v>0.73864883805611548</v>
      </c>
      <c r="AL137" s="36" t="s">
        <v>245</v>
      </c>
      <c r="AM137" s="22">
        <f>MAX(AM101-$B$1,0)</f>
        <v>0.70679055482058928</v>
      </c>
    </row>
    <row r="138" spans="6:39" x14ac:dyDescent="0.2">
      <c r="P138" s="36" t="s">
        <v>284</v>
      </c>
      <c r="Q138" s="22">
        <f>EXP(-$B$89*1/16) * (S137*$B$92 + S139*$B$93)</f>
        <v>0.67938770129510118</v>
      </c>
      <c r="T138" s="36" t="s">
        <v>241</v>
      </c>
      <c r="U138" s="22">
        <f t="shared" si="11"/>
        <v>0.6329672724297023</v>
      </c>
      <c r="X138" s="36" t="s">
        <v>243</v>
      </c>
      <c r="Y138" s="22">
        <f t="shared" si="12"/>
        <v>0.58050064141800417</v>
      </c>
      <c r="AB138" s="36" t="s">
        <v>285</v>
      </c>
      <c r="AC138" s="22">
        <f t="shared" si="13"/>
        <v>0.51950440116123653</v>
      </c>
      <c r="AF138" s="36" t="s">
        <v>244</v>
      </c>
      <c r="AG138" s="22">
        <f t="shared" si="14"/>
        <v>0.44503823486150057</v>
      </c>
      <c r="AJ138" s="36" t="s">
        <v>245</v>
      </c>
      <c r="AK138" s="22">
        <f t="shared" ref="Q138:AK148" si="15">EXP(-$B$89*1/16) * (AM137*$B$92 + AM139*$B$93)</f>
        <v>0.3439971896733004</v>
      </c>
    </row>
    <row r="139" spans="6:39" x14ac:dyDescent="0.2">
      <c r="N139" s="36" t="s">
        <v>284</v>
      </c>
      <c r="O139" s="22">
        <f>EXP(-$B$89*1/16) * (Q138*$B$92 + Q140*$B$93)</f>
        <v>0.47990952968226785</v>
      </c>
      <c r="R139" s="36" t="s">
        <v>241</v>
      </c>
      <c r="S139" s="22">
        <f t="shared" si="11"/>
        <v>0.43519452167512918</v>
      </c>
      <c r="V139" s="36" t="s">
        <v>243</v>
      </c>
      <c r="W139" s="22">
        <f t="shared" si="12"/>
        <v>0.38505522902491141</v>
      </c>
      <c r="Z139" s="36" t="s">
        <v>285</v>
      </c>
      <c r="AA139" s="22">
        <f t="shared" si="13"/>
        <v>0.32740573337472073</v>
      </c>
      <c r="AD139" s="36" t="s">
        <v>244</v>
      </c>
      <c r="AE139" s="22">
        <f t="shared" si="14"/>
        <v>0.2582319171953979</v>
      </c>
      <c r="AH139" s="36" t="s">
        <v>245</v>
      </c>
      <c r="AI139" s="22">
        <f t="shared" si="15"/>
        <v>0.16742451592772964</v>
      </c>
      <c r="AL139" s="36" t="s">
        <v>246</v>
      </c>
      <c r="AM139" s="22">
        <f>MAX(AM103-$B$1,0)</f>
        <v>0</v>
      </c>
    </row>
    <row r="140" spans="6:39" x14ac:dyDescent="0.2">
      <c r="L140" s="36" t="s">
        <v>284</v>
      </c>
      <c r="M140" s="22">
        <f>EXP(-$B$89*1/16) * (O139*$B$92 + O141*$B$93)</f>
        <v>0.33164259433195009</v>
      </c>
      <c r="P140" s="36" t="s">
        <v>241</v>
      </c>
      <c r="Q140" s="22">
        <f t="shared" si="11"/>
        <v>0.29213604138609489</v>
      </c>
      <c r="T140" s="36" t="s">
        <v>243</v>
      </c>
      <c r="U140" s="22">
        <f t="shared" si="12"/>
        <v>0.24883506247520895</v>
      </c>
      <c r="X140" s="36" t="s">
        <v>285</v>
      </c>
      <c r="Y140" s="22">
        <f t="shared" si="13"/>
        <v>0.20067671936612638</v>
      </c>
      <c r="AB140" s="36" t="s">
        <v>244</v>
      </c>
      <c r="AC140" s="22">
        <f t="shared" si="14"/>
        <v>0.1459439374985656</v>
      </c>
      <c r="AF140" s="36" t="s">
        <v>245</v>
      </c>
      <c r="AG140" s="22">
        <f t="shared" si="15"/>
        <v>8.1486039348914588E-2</v>
      </c>
      <c r="AJ140" s="36" t="s">
        <v>246</v>
      </c>
      <c r="AK140" s="22">
        <f t="shared" ref="S140:AK149" si="16">EXP(-$B$89*1/16) * (AM139*$B$92 + AM141*$B$93)</f>
        <v>0</v>
      </c>
    </row>
    <row r="141" spans="6:39" x14ac:dyDescent="0.2">
      <c r="J141" s="36" t="s">
        <v>284</v>
      </c>
      <c r="K141" s="22">
        <f>EXP(-$B$89*1/16) * (M140*$B$92 + M142*$B$93)</f>
        <v>0.22463380890718243</v>
      </c>
      <c r="N141" s="36" t="s">
        <v>241</v>
      </c>
      <c r="O141" s="22">
        <f t="shared" si="11"/>
        <v>0.19195737992638318</v>
      </c>
      <c r="R141" s="36" t="s">
        <v>243</v>
      </c>
      <c r="S141" s="22">
        <f t="shared" si="12"/>
        <v>0.1572265843750168</v>
      </c>
      <c r="V141" s="36" t="s">
        <v>285</v>
      </c>
      <c r="W141" s="22">
        <f t="shared" si="13"/>
        <v>0.12023618413274899</v>
      </c>
      <c r="Z141" s="36" t="s">
        <v>244</v>
      </c>
      <c r="AA141" s="22">
        <f t="shared" si="14"/>
        <v>8.0892782982518383E-2</v>
      </c>
      <c r="AD141" s="36" t="s">
        <v>245</v>
      </c>
      <c r="AE141" s="22">
        <f t="shared" si="15"/>
        <v>3.9659512061179042E-2</v>
      </c>
      <c r="AH141" s="36" t="s">
        <v>246</v>
      </c>
      <c r="AI141" s="22">
        <f t="shared" si="16"/>
        <v>0</v>
      </c>
      <c r="AL141" s="36" t="s">
        <v>247</v>
      </c>
      <c r="AM141" s="22">
        <f>MAX(AM105-$B$1,0)</f>
        <v>0</v>
      </c>
    </row>
    <row r="142" spans="6:39" x14ac:dyDescent="0.2">
      <c r="H142" s="36" t="s">
        <v>284</v>
      </c>
      <c r="I142" s="22">
        <f>EXP(-$B$89*1/16) * (K141*$B$92 + K143*$B$93)</f>
        <v>0.14939889025329248</v>
      </c>
      <c r="L142" s="36" t="s">
        <v>241</v>
      </c>
      <c r="M142" s="22">
        <f t="shared" si="11"/>
        <v>0.12374935497179181</v>
      </c>
      <c r="P142" s="36" t="s">
        <v>243</v>
      </c>
      <c r="Q142" s="22">
        <f t="shared" si="12"/>
        <v>9.7425754912866203E-2</v>
      </c>
      <c r="T142" s="36" t="s">
        <v>285</v>
      </c>
      <c r="U142" s="22">
        <f t="shared" si="13"/>
        <v>7.0695790506314887E-2</v>
      </c>
      <c r="X142" s="36" t="s">
        <v>244</v>
      </c>
      <c r="Y142" s="22">
        <f t="shared" si="14"/>
        <v>4.4170351061521278E-2</v>
      </c>
      <c r="AB142" s="36" t="s">
        <v>245</v>
      </c>
      <c r="AC142" s="22">
        <f t="shared" si="15"/>
        <v>1.9302409461771898E-2</v>
      </c>
      <c r="AF142" s="36" t="s">
        <v>246</v>
      </c>
      <c r="AG142" s="22">
        <f t="shared" si="16"/>
        <v>0</v>
      </c>
      <c r="AJ142" s="36" t="s">
        <v>247</v>
      </c>
      <c r="AK142" s="22">
        <f t="shared" ref="U142:AK150" si="17">EXP(-$B$89*1/16) * (AM141*$B$92 + AM143*$B$93)</f>
        <v>0</v>
      </c>
    </row>
    <row r="143" spans="6:39" x14ac:dyDescent="0.2">
      <c r="F143" s="36" t="s">
        <v>242</v>
      </c>
      <c r="G143" s="22">
        <f>EXP(-$B$89*1/16) * (I142*$B$92 + I144*$B$93)</f>
        <v>9.7722842049302316E-2</v>
      </c>
      <c r="J143" s="36" t="s">
        <v>241</v>
      </c>
      <c r="K143" s="22">
        <f t="shared" si="11"/>
        <v>7.8429611659957807E-2</v>
      </c>
      <c r="N143" s="36" t="s">
        <v>243</v>
      </c>
      <c r="O143" s="22">
        <f t="shared" si="12"/>
        <v>5.9353463159182711E-2</v>
      </c>
      <c r="R143" s="36" t="s">
        <v>285</v>
      </c>
      <c r="S143" s="22">
        <f t="shared" si="13"/>
        <v>4.091502899252155E-2</v>
      </c>
      <c r="V143" s="36" t="s">
        <v>244</v>
      </c>
      <c r="W143" s="22">
        <f t="shared" si="14"/>
        <v>2.3833819108510609E-2</v>
      </c>
      <c r="Z143" s="36" t="s">
        <v>245</v>
      </c>
      <c r="AA143" s="22">
        <f t="shared" si="15"/>
        <v>9.3945434945127936E-3</v>
      </c>
      <c r="AD143" s="36" t="s">
        <v>246</v>
      </c>
      <c r="AE143" s="22">
        <f t="shared" si="16"/>
        <v>0</v>
      </c>
      <c r="AH143" s="36" t="s">
        <v>247</v>
      </c>
      <c r="AI143" s="22">
        <f t="shared" si="17"/>
        <v>0</v>
      </c>
      <c r="AL143" s="36" t="s">
        <v>248</v>
      </c>
      <c r="AM143" s="22">
        <f>MAX(AM107-$B$1,0)</f>
        <v>0</v>
      </c>
    </row>
    <row r="144" spans="6:39" x14ac:dyDescent="0.2">
      <c r="H144" s="36" t="s">
        <v>241</v>
      </c>
      <c r="I144" s="22">
        <f t="shared" si="11"/>
        <v>4.8953648203615682E-2</v>
      </c>
      <c r="L144" s="36" t="s">
        <v>243</v>
      </c>
      <c r="M144" s="22">
        <f t="shared" si="12"/>
        <v>3.5624907826744968E-2</v>
      </c>
      <c r="P144" s="36" t="s">
        <v>285</v>
      </c>
      <c r="Q144" s="22">
        <f t="shared" si="13"/>
        <v>2.3363229423940646E-2</v>
      </c>
      <c r="T144" s="36" t="s">
        <v>244</v>
      </c>
      <c r="U144" s="22">
        <f t="shared" si="14"/>
        <v>1.2736918849277737E-2</v>
      </c>
      <c r="X144" s="36" t="s">
        <v>245</v>
      </c>
      <c r="Y144" s="22">
        <f t="shared" si="15"/>
        <v>4.5723539149392237E-3</v>
      </c>
      <c r="AB144" s="36" t="s">
        <v>246</v>
      </c>
      <c r="AC144" s="22">
        <f t="shared" si="16"/>
        <v>0</v>
      </c>
      <c r="AF144" s="36" t="s">
        <v>247</v>
      </c>
      <c r="AG144" s="22">
        <f t="shared" si="17"/>
        <v>0</v>
      </c>
      <c r="AJ144" s="36" t="s">
        <v>248</v>
      </c>
      <c r="AK144" s="22">
        <f t="shared" ref="W144:AK151" si="18">EXP(-$B$89*1/16) * (AM143*$B$92 + AM145*$B$93)</f>
        <v>0</v>
      </c>
    </row>
    <row r="145" spans="6:39" x14ac:dyDescent="0.2">
      <c r="J145" s="36" t="s">
        <v>243</v>
      </c>
      <c r="K145" s="22">
        <f t="shared" si="12"/>
        <v>2.1103776137553099E-2</v>
      </c>
      <c r="N145" s="36" t="s">
        <v>285</v>
      </c>
      <c r="O145" s="22">
        <f t="shared" si="13"/>
        <v>1.3187554536895E-2</v>
      </c>
      <c r="R145" s="36" t="s">
        <v>244</v>
      </c>
      <c r="S145" s="22">
        <f t="shared" si="14"/>
        <v>6.7524430243084618E-3</v>
      </c>
      <c r="V145" s="36" t="s">
        <v>245</v>
      </c>
      <c r="W145" s="22">
        <f t="shared" si="15"/>
        <v>2.225379054945156E-3</v>
      </c>
      <c r="Z145" s="36" t="s">
        <v>246</v>
      </c>
      <c r="AA145" s="22">
        <f t="shared" si="16"/>
        <v>0</v>
      </c>
      <c r="AD145" s="36" t="s">
        <v>247</v>
      </c>
      <c r="AE145" s="22">
        <f t="shared" si="17"/>
        <v>0</v>
      </c>
      <c r="AH145" s="36" t="s">
        <v>248</v>
      </c>
      <c r="AI145" s="22">
        <f t="shared" si="18"/>
        <v>0</v>
      </c>
      <c r="AL145" s="36" t="s">
        <v>258</v>
      </c>
      <c r="AM145" s="22">
        <f>MAX(AM109-$B$1,0)</f>
        <v>0</v>
      </c>
    </row>
    <row r="146" spans="6:39" x14ac:dyDescent="0.2">
      <c r="L146" s="36" t="s">
        <v>285</v>
      </c>
      <c r="M146" s="22">
        <f t="shared" si="13"/>
        <v>7.369533441769458E-3</v>
      </c>
      <c r="P146" s="36" t="s">
        <v>244</v>
      </c>
      <c r="Q146" s="22">
        <f t="shared" si="14"/>
        <v>3.5557498012536741E-3</v>
      </c>
      <c r="T146" s="36" t="s">
        <v>245</v>
      </c>
      <c r="U146" s="22">
        <f t="shared" si="15"/>
        <v>1.0830989967788667E-3</v>
      </c>
      <c r="X146" s="36" t="s">
        <v>246</v>
      </c>
      <c r="Y146" s="22">
        <f t="shared" si="16"/>
        <v>0</v>
      </c>
      <c r="AB146" s="36" t="s">
        <v>247</v>
      </c>
      <c r="AC146" s="22">
        <f t="shared" si="17"/>
        <v>0</v>
      </c>
      <c r="AF146" s="36" t="s">
        <v>248</v>
      </c>
      <c r="AG146" s="22">
        <f t="shared" si="18"/>
        <v>0</v>
      </c>
      <c r="AJ146" s="36" t="s">
        <v>258</v>
      </c>
      <c r="AK146" s="22">
        <f t="shared" ref="Y146:AK152" si="19">EXP(-$B$89*1/16) * (AM145*$B$92 + AM147*$B$93)</f>
        <v>0</v>
      </c>
    </row>
    <row r="147" spans="6:39" x14ac:dyDescent="0.2">
      <c r="N147" s="36" t="s">
        <v>244</v>
      </c>
      <c r="O147" s="22">
        <f t="shared" si="14"/>
        <v>1.8616708499803105E-3</v>
      </c>
      <c r="R147" s="36" t="s">
        <v>245</v>
      </c>
      <c r="S147" s="22">
        <f t="shared" si="15"/>
        <v>5.2714769388008745E-4</v>
      </c>
      <c r="V147" s="36" t="s">
        <v>246</v>
      </c>
      <c r="W147" s="22">
        <f t="shared" si="16"/>
        <v>0</v>
      </c>
      <c r="Z147" s="36" t="s">
        <v>247</v>
      </c>
      <c r="AA147" s="22">
        <f t="shared" si="17"/>
        <v>0</v>
      </c>
      <c r="AD147" s="36" t="s">
        <v>248</v>
      </c>
      <c r="AE147" s="22">
        <f t="shared" si="18"/>
        <v>0</v>
      </c>
      <c r="AH147" s="36" t="s">
        <v>258</v>
      </c>
      <c r="AI147" s="22">
        <f t="shared" si="19"/>
        <v>0</v>
      </c>
      <c r="AL147" s="36" t="s">
        <v>286</v>
      </c>
      <c r="AM147" s="22">
        <f>MAX(AM111-$B$1,0)</f>
        <v>0</v>
      </c>
    </row>
    <row r="148" spans="6:39" x14ac:dyDescent="0.2">
      <c r="P148" s="36" t="s">
        <v>245</v>
      </c>
      <c r="Q148" s="22">
        <f t="shared" si="15"/>
        <v>2.5656444331452867E-4</v>
      </c>
      <c r="T148" s="36" t="s">
        <v>246</v>
      </c>
      <c r="U148" s="22">
        <f t="shared" si="16"/>
        <v>0</v>
      </c>
      <c r="X148" s="36" t="s">
        <v>247</v>
      </c>
      <c r="Y148" s="22">
        <f t="shared" si="17"/>
        <v>0</v>
      </c>
      <c r="AB148" s="36" t="s">
        <v>248</v>
      </c>
      <c r="AC148" s="22">
        <f t="shared" si="18"/>
        <v>0</v>
      </c>
      <c r="AF148" s="36" t="s">
        <v>258</v>
      </c>
      <c r="AG148" s="22">
        <f t="shared" si="19"/>
        <v>0</v>
      </c>
      <c r="AJ148" s="36" t="s">
        <v>286</v>
      </c>
      <c r="AK148" s="22">
        <f t="shared" ref="AA148:AK153" si="20">EXP(-$B$89*1/16) * (AM147*$B$92 + AM149*$B$93)</f>
        <v>0</v>
      </c>
    </row>
    <row r="149" spans="6:39" x14ac:dyDescent="0.2">
      <c r="R149" s="36" t="s">
        <v>246</v>
      </c>
      <c r="S149" s="22">
        <f t="shared" si="16"/>
        <v>0</v>
      </c>
      <c r="V149" s="36" t="s">
        <v>247</v>
      </c>
      <c r="W149" s="22">
        <f t="shared" si="17"/>
        <v>0</v>
      </c>
      <c r="Z149" s="36" t="s">
        <v>248</v>
      </c>
      <c r="AA149" s="22">
        <f t="shared" si="18"/>
        <v>0</v>
      </c>
      <c r="AD149" s="36" t="s">
        <v>258</v>
      </c>
      <c r="AE149" s="22">
        <f t="shared" si="19"/>
        <v>0</v>
      </c>
      <c r="AH149" s="36" t="s">
        <v>286</v>
      </c>
      <c r="AI149" s="22">
        <f t="shared" si="20"/>
        <v>0</v>
      </c>
      <c r="AL149" s="36" t="s">
        <v>287</v>
      </c>
      <c r="AM149" s="22">
        <f>MAX(AM113-$B$1,0)</f>
        <v>0</v>
      </c>
    </row>
    <row r="150" spans="6:39" x14ac:dyDescent="0.2">
      <c r="T150" s="36" t="s">
        <v>247</v>
      </c>
      <c r="U150" s="22">
        <f t="shared" si="17"/>
        <v>0</v>
      </c>
      <c r="X150" s="36" t="s">
        <v>248</v>
      </c>
      <c r="Y150" s="22">
        <f t="shared" si="18"/>
        <v>0</v>
      </c>
      <c r="AB150" s="36" t="s">
        <v>258</v>
      </c>
      <c r="AC150" s="22">
        <f t="shared" si="19"/>
        <v>0</v>
      </c>
      <c r="AF150" s="36" t="s">
        <v>286</v>
      </c>
      <c r="AG150" s="22">
        <f t="shared" si="20"/>
        <v>0</v>
      </c>
      <c r="AJ150" s="36" t="s">
        <v>287</v>
      </c>
      <c r="AK150" s="22">
        <f t="shared" ref="AC150:AK154" si="21">EXP(-$B$89*1/16) * (AM149*$B$92 + AM151*$B$93)</f>
        <v>0</v>
      </c>
    </row>
    <row r="151" spans="6:39" x14ac:dyDescent="0.2">
      <c r="V151" s="36" t="s">
        <v>248</v>
      </c>
      <c r="W151" s="22">
        <f t="shared" si="18"/>
        <v>0</v>
      </c>
      <c r="Z151" s="36" t="s">
        <v>258</v>
      </c>
      <c r="AA151" s="22">
        <f t="shared" si="19"/>
        <v>0</v>
      </c>
      <c r="AD151" s="36" t="s">
        <v>286</v>
      </c>
      <c r="AE151" s="22">
        <f t="shared" si="20"/>
        <v>0</v>
      </c>
      <c r="AH151" s="36" t="s">
        <v>287</v>
      </c>
      <c r="AI151" s="22">
        <f t="shared" si="21"/>
        <v>0</v>
      </c>
      <c r="AL151" s="36" t="s">
        <v>288</v>
      </c>
      <c r="AM151" s="22">
        <f>MAX(AM115-$B$1,0)</f>
        <v>0</v>
      </c>
    </row>
    <row r="152" spans="6:39" x14ac:dyDescent="0.2">
      <c r="X152" s="36" t="s">
        <v>258</v>
      </c>
      <c r="Y152" s="22">
        <f t="shared" si="19"/>
        <v>0</v>
      </c>
      <c r="AB152" s="36" t="s">
        <v>286</v>
      </c>
      <c r="AC152" s="22">
        <f t="shared" si="20"/>
        <v>0</v>
      </c>
      <c r="AF152" s="36" t="s">
        <v>287</v>
      </c>
      <c r="AG152" s="22">
        <f t="shared" si="21"/>
        <v>0</v>
      </c>
      <c r="AJ152" s="36" t="s">
        <v>288</v>
      </c>
      <c r="AK152" s="22">
        <f t="shared" ref="AE152:AK155" si="22">EXP(-$B$89*1/16) * (AM151*$B$92 + AM153*$B$93)</f>
        <v>0</v>
      </c>
    </row>
    <row r="153" spans="6:39" x14ac:dyDescent="0.2">
      <c r="Z153" s="36" t="s">
        <v>286</v>
      </c>
      <c r="AA153" s="22">
        <f t="shared" si="20"/>
        <v>0</v>
      </c>
      <c r="AD153" s="36" t="s">
        <v>287</v>
      </c>
      <c r="AE153" s="22">
        <f t="shared" si="21"/>
        <v>0</v>
      </c>
      <c r="AH153" s="36" t="s">
        <v>288</v>
      </c>
      <c r="AI153" s="22">
        <f t="shared" si="22"/>
        <v>0</v>
      </c>
      <c r="AL153" s="36" t="s">
        <v>289</v>
      </c>
      <c r="AM153" s="22">
        <f>MAX(AM117-$B$1,0)</f>
        <v>0</v>
      </c>
    </row>
    <row r="154" spans="6:39" x14ac:dyDescent="0.2">
      <c r="AB154" s="36" t="s">
        <v>287</v>
      </c>
      <c r="AC154" s="22">
        <f t="shared" si="21"/>
        <v>0</v>
      </c>
      <c r="AF154" s="36" t="s">
        <v>288</v>
      </c>
      <c r="AG154" s="22">
        <f t="shared" si="22"/>
        <v>0</v>
      </c>
      <c r="AJ154" s="36" t="s">
        <v>289</v>
      </c>
      <c r="AK154" s="22">
        <f t="shared" ref="AG154:AK156" si="23">EXP(-$B$89*1/16) * (AM153*$B$92 + AM155*$B$93)</f>
        <v>0</v>
      </c>
    </row>
    <row r="155" spans="6:39" x14ac:dyDescent="0.2">
      <c r="AD155" s="36" t="s">
        <v>288</v>
      </c>
      <c r="AE155" s="22">
        <f t="shared" si="22"/>
        <v>0</v>
      </c>
      <c r="AH155" s="36" t="s">
        <v>289</v>
      </c>
      <c r="AI155" s="22">
        <f t="shared" si="23"/>
        <v>0</v>
      </c>
      <c r="AL155" s="36" t="s">
        <v>290</v>
      </c>
      <c r="AM155" s="22">
        <f>MAX(AM119-$B$1,0)</f>
        <v>0</v>
      </c>
    </row>
    <row r="156" spans="6:39" x14ac:dyDescent="0.2">
      <c r="AF156" s="36" t="s">
        <v>289</v>
      </c>
      <c r="AG156" s="22">
        <f t="shared" si="23"/>
        <v>0</v>
      </c>
      <c r="AJ156" s="36" t="s">
        <v>290</v>
      </c>
      <c r="AK156" s="22">
        <f t="shared" ref="AI156:AK157" si="24">EXP(-$B$89*1/16) * (AM155*$B$92 + AM157*$B$93)</f>
        <v>0</v>
      </c>
    </row>
    <row r="157" spans="6:39" x14ac:dyDescent="0.2">
      <c r="AH157" s="36" t="s">
        <v>290</v>
      </c>
      <c r="AI157" s="22">
        <f t="shared" si="24"/>
        <v>0</v>
      </c>
      <c r="AL157" s="36" t="s">
        <v>291</v>
      </c>
      <c r="AM157" s="22">
        <f>MAX(AM121-$B$1,0)</f>
        <v>0</v>
      </c>
    </row>
    <row r="158" spans="6:39" x14ac:dyDescent="0.2">
      <c r="F158" s="12" t="s">
        <v>22</v>
      </c>
      <c r="AJ158" s="36" t="s">
        <v>291</v>
      </c>
      <c r="AK158" s="22">
        <f t="shared" ref="AK158" si="25">EXP(-$B$89*1/16) * (AM157*$B$92 + AM159*$B$93)</f>
        <v>0</v>
      </c>
    </row>
    <row r="159" spans="6:39" x14ac:dyDescent="0.2">
      <c r="F159" t="s">
        <v>74</v>
      </c>
      <c r="AL159" s="36" t="s">
        <v>292</v>
      </c>
      <c r="AM159" s="22">
        <f>MAX(AM123-$B$1,0)</f>
        <v>0</v>
      </c>
    </row>
    <row r="161" spans="6:39" x14ac:dyDescent="0.2">
      <c r="F161" s="45" t="s">
        <v>250</v>
      </c>
      <c r="G161" s="46"/>
      <c r="H161" s="45" t="s">
        <v>269</v>
      </c>
      <c r="I161" s="46"/>
      <c r="J161" s="45" t="s">
        <v>270</v>
      </c>
      <c r="K161" s="46"/>
      <c r="L161" s="45" t="s">
        <v>271</v>
      </c>
      <c r="M161" s="46"/>
      <c r="N161" s="45" t="s">
        <v>272</v>
      </c>
      <c r="O161" s="46"/>
      <c r="P161" s="45" t="s">
        <v>273</v>
      </c>
      <c r="Q161" s="46"/>
      <c r="R161" s="45" t="s">
        <v>274</v>
      </c>
      <c r="S161" s="46"/>
      <c r="T161" s="45" t="s">
        <v>275</v>
      </c>
      <c r="U161" s="46"/>
      <c r="V161" s="40" t="s">
        <v>276</v>
      </c>
      <c r="W161" s="41"/>
      <c r="X161" s="40" t="s">
        <v>277</v>
      </c>
      <c r="Y161" s="41"/>
      <c r="Z161" s="40" t="s">
        <v>278</v>
      </c>
      <c r="AA161" s="41"/>
      <c r="AB161" s="40" t="s">
        <v>279</v>
      </c>
      <c r="AC161" s="41"/>
      <c r="AD161" s="40" t="s">
        <v>280</v>
      </c>
      <c r="AE161" s="41"/>
      <c r="AF161" s="40" t="s">
        <v>281</v>
      </c>
      <c r="AG161" s="41"/>
      <c r="AH161" s="40" t="s">
        <v>282</v>
      </c>
      <c r="AI161" s="41"/>
      <c r="AJ161" s="40" t="s">
        <v>283</v>
      </c>
      <c r="AK161" s="41"/>
      <c r="AL161" s="40" t="s">
        <v>249</v>
      </c>
      <c r="AM161" s="47"/>
    </row>
    <row r="163" spans="6:39" x14ac:dyDescent="0.2">
      <c r="AL163" s="36" t="s">
        <v>259</v>
      </c>
      <c r="AM163" s="22">
        <f>MAX($B$1 - AM91,0)</f>
        <v>0</v>
      </c>
    </row>
    <row r="164" spans="6:39" x14ac:dyDescent="0.2">
      <c r="AJ164" s="36" t="s">
        <v>259</v>
      </c>
      <c r="AK164" s="22">
        <f>EXP(-$B$89*1/16) * (AM163*$B$92 + AM165*$B$93)</f>
        <v>0</v>
      </c>
    </row>
    <row r="165" spans="6:39" x14ac:dyDescent="0.2">
      <c r="AH165" s="36" t="s">
        <v>259</v>
      </c>
      <c r="AI165" s="22">
        <f>EXP(-$B$89*1/16) * (AK164*$B$92 + AK166*$B$93)</f>
        <v>0</v>
      </c>
      <c r="AL165" s="36" t="s">
        <v>260</v>
      </c>
      <c r="AM165" s="22">
        <f>MAX($B$1 - AM93,0)</f>
        <v>0</v>
      </c>
    </row>
    <row r="166" spans="6:39" x14ac:dyDescent="0.2">
      <c r="AF166" s="36" t="s">
        <v>259</v>
      </c>
      <c r="AG166" s="22">
        <f>EXP(-$B$89*1/16) * (AI165*$B$92 + AI167*$B$93)</f>
        <v>0</v>
      </c>
      <c r="AJ166" s="36" t="s">
        <v>260</v>
      </c>
      <c r="AK166" s="22">
        <f t="shared" ref="I166:AK180" si="26">EXP(-$B$89*1/16) * (AM165*$B$92 + AM167*$B$93)</f>
        <v>0</v>
      </c>
    </row>
    <row r="167" spans="6:39" x14ac:dyDescent="0.2">
      <c r="AD167" s="36" t="s">
        <v>259</v>
      </c>
      <c r="AE167" s="22">
        <f>EXP(-$B$89*1/16) * (AG166*$B$92 + AG168*$B$93)</f>
        <v>0</v>
      </c>
      <c r="AH167" s="36" t="s">
        <v>260</v>
      </c>
      <c r="AI167" s="22">
        <f t="shared" si="26"/>
        <v>0</v>
      </c>
      <c r="AL167" s="36" t="s">
        <v>261</v>
      </c>
      <c r="AM167" s="22">
        <f>MAX($B$1 - AM95,0)</f>
        <v>0</v>
      </c>
    </row>
    <row r="168" spans="6:39" x14ac:dyDescent="0.2">
      <c r="AB168" s="36" t="s">
        <v>259</v>
      </c>
      <c r="AC168" s="22">
        <f>EXP(-$B$89*1/16) * (AE167*$B$92 + AE169*$B$93)</f>
        <v>0</v>
      </c>
      <c r="AF168" s="36" t="s">
        <v>260</v>
      </c>
      <c r="AG168" s="22">
        <f t="shared" si="26"/>
        <v>0</v>
      </c>
      <c r="AJ168" s="36" t="s">
        <v>261</v>
      </c>
      <c r="AK168" s="22">
        <f t="shared" ref="K168:AK181" si="27">EXP(-$B$89*1/16) * (AM167*$B$92 + AM169*$B$93)</f>
        <v>0</v>
      </c>
    </row>
    <row r="169" spans="6:39" x14ac:dyDescent="0.2">
      <c r="Z169" s="36" t="s">
        <v>259</v>
      </c>
      <c r="AA169" s="22">
        <f>EXP(-$B$89*1/16) * (AC168*$B$92 + AC170*$B$93)</f>
        <v>2.4018604247727591E-3</v>
      </c>
      <c r="AD169" s="36" t="s">
        <v>260</v>
      </c>
      <c r="AE169" s="22">
        <f t="shared" si="26"/>
        <v>0</v>
      </c>
      <c r="AH169" s="36" t="s">
        <v>261</v>
      </c>
      <c r="AI169" s="22">
        <f t="shared" si="27"/>
        <v>0</v>
      </c>
      <c r="AL169" s="36" t="s">
        <v>262</v>
      </c>
      <c r="AM169" s="22">
        <f>MAX($B$1 - AM97,0)</f>
        <v>0</v>
      </c>
    </row>
    <row r="170" spans="6:39" x14ac:dyDescent="0.2">
      <c r="X170" s="36" t="s">
        <v>259</v>
      </c>
      <c r="Y170" s="22">
        <f>EXP(-$B$89*1/16) * (AA169*$B$92 + AA171*$B$93)</f>
        <v>1.6350838333432576E-2</v>
      </c>
      <c r="AB170" s="36" t="s">
        <v>260</v>
      </c>
      <c r="AC170" s="22">
        <f t="shared" si="26"/>
        <v>4.7013255615309677E-3</v>
      </c>
      <c r="AF170" s="36" t="s">
        <v>261</v>
      </c>
      <c r="AG170" s="22">
        <f t="shared" si="27"/>
        <v>0</v>
      </c>
      <c r="AJ170" s="36" t="s">
        <v>262</v>
      </c>
      <c r="AK170" s="22">
        <f t="shared" ref="M170:AK182" si="28">EXP(-$B$89*1/16) * (AM169*$B$92 + AM171*$B$93)</f>
        <v>0</v>
      </c>
    </row>
    <row r="171" spans="6:39" x14ac:dyDescent="0.2">
      <c r="V171" s="36" t="s">
        <v>259</v>
      </c>
      <c r="W171" s="22">
        <f>EXP(-$B$89*1/16) * (Y170*$B$92 + Y172*$B$93)</f>
        <v>5.5124436593326949E-2</v>
      </c>
      <c r="Z171" s="36" t="s">
        <v>260</v>
      </c>
      <c r="AA171" s="22">
        <f t="shared" si="26"/>
        <v>2.9716463385815649E-2</v>
      </c>
      <c r="AD171" s="36" t="s">
        <v>261</v>
      </c>
      <c r="AE171" s="22">
        <f t="shared" si="27"/>
        <v>9.2022258277541617E-3</v>
      </c>
      <c r="AH171" s="36" t="s">
        <v>262</v>
      </c>
      <c r="AI171" s="22">
        <f t="shared" si="28"/>
        <v>0</v>
      </c>
      <c r="AL171" s="36" t="s">
        <v>263</v>
      </c>
      <c r="AM171" s="22">
        <f>MAX($B$1 - AM99,0)</f>
        <v>0</v>
      </c>
    </row>
    <row r="172" spans="6:39" x14ac:dyDescent="0.2">
      <c r="T172" s="36" t="s">
        <v>259</v>
      </c>
      <c r="U172" s="22">
        <f>EXP(-$B$89*1/16) * (W171*$B$92 + W173*$B$93)</f>
        <v>0.13055713830349078</v>
      </c>
      <c r="X172" s="36" t="s">
        <v>260</v>
      </c>
      <c r="Y172" s="22">
        <f t="shared" si="26"/>
        <v>9.2322081012107066E-2</v>
      </c>
      <c r="AB172" s="36" t="s">
        <v>261</v>
      </c>
      <c r="AC172" s="22">
        <f t="shared" si="27"/>
        <v>5.3687312418631596E-2</v>
      </c>
      <c r="AF172" s="36" t="s">
        <v>262</v>
      </c>
      <c r="AG172" s="22">
        <f t="shared" si="28"/>
        <v>1.8012145527188241E-2</v>
      </c>
      <c r="AJ172" s="36" t="s">
        <v>263</v>
      </c>
      <c r="AK172" s="22">
        <f t="shared" ref="O172:AK183" si="29">EXP(-$B$89*1/16) * (AM171*$B$92 + AM173*$B$93)</f>
        <v>0</v>
      </c>
    </row>
    <row r="173" spans="6:39" x14ac:dyDescent="0.2">
      <c r="R173" s="36" t="s">
        <v>259</v>
      </c>
      <c r="S173" s="22">
        <f>EXP(-$B$89*1/16) * (U172*$B$92 + U174*$B$93)</f>
        <v>0.24911325963037087</v>
      </c>
      <c r="V173" s="36" t="s">
        <v>260</v>
      </c>
      <c r="W173" s="22">
        <f t="shared" si="26"/>
        <v>0.20303371046874363</v>
      </c>
      <c r="Z173" s="36" t="s">
        <v>261</v>
      </c>
      <c r="AA173" s="22">
        <f t="shared" si="27"/>
        <v>0.15239871185854378</v>
      </c>
      <c r="AD173" s="36" t="s">
        <v>262</v>
      </c>
      <c r="AE173" s="22">
        <f t="shared" si="28"/>
        <v>9.6319277815923615E-2</v>
      </c>
      <c r="AH173" s="36" t="s">
        <v>263</v>
      </c>
      <c r="AI173" s="22">
        <f t="shared" si="29"/>
        <v>3.5256403457747741E-2</v>
      </c>
      <c r="AL173" s="36" t="s">
        <v>264</v>
      </c>
      <c r="AM173" s="22">
        <f>MAX($B$1 - AM101,0)</f>
        <v>0</v>
      </c>
    </row>
    <row r="174" spans="6:39" x14ac:dyDescent="0.2">
      <c r="P174" s="36" t="s">
        <v>259</v>
      </c>
      <c r="Q174" s="22">
        <f>EXP(-$B$89*1/16) * (S173*$B$92 + S175*$B$93)</f>
        <v>0.41094746800727344</v>
      </c>
      <c r="T174" s="36" t="s">
        <v>260</v>
      </c>
      <c r="U174" s="22">
        <f t="shared" si="26"/>
        <v>0.36323019240266552</v>
      </c>
      <c r="X174" s="36" t="s">
        <v>261</v>
      </c>
      <c r="Y174" s="22">
        <f t="shared" si="27"/>
        <v>0.30946044952732304</v>
      </c>
      <c r="AB174" s="36" t="s">
        <v>262</v>
      </c>
      <c r="AC174" s="22">
        <f t="shared" si="28"/>
        <v>0.24715480201538009</v>
      </c>
      <c r="AF174" s="36" t="s">
        <v>263</v>
      </c>
      <c r="AG174" s="22">
        <f t="shared" si="29"/>
        <v>0.17137290265562086</v>
      </c>
      <c r="AJ174" s="36" t="s">
        <v>264</v>
      </c>
      <c r="AK174" s="22">
        <f t="shared" ref="Q174:AK184" si="30">EXP(-$B$89*1/16) * (AM173*$B$92 + AM175*$B$93)</f>
        <v>6.9009768042304159E-2</v>
      </c>
    </row>
    <row r="175" spans="6:39" x14ac:dyDescent="0.2">
      <c r="N175" s="36" t="s">
        <v>259</v>
      </c>
      <c r="O175" s="22">
        <f>EXP(-$B$89*1/16) * (Q174*$B$92 + Q176*$B$93)</f>
        <v>0.61113703180383294</v>
      </c>
      <c r="R175" s="36" t="s">
        <v>260</v>
      </c>
      <c r="S175" s="22">
        <f t="shared" si="26"/>
        <v>0.56705598971207483</v>
      </c>
      <c r="V175" s="36" t="s">
        <v>261</v>
      </c>
      <c r="W175" s="22">
        <f t="shared" si="27"/>
        <v>0.51755372569484936</v>
      </c>
      <c r="Z175" s="36" t="s">
        <v>262</v>
      </c>
      <c r="AA175" s="22">
        <f t="shared" si="28"/>
        <v>0.46054433619138779</v>
      </c>
      <c r="AD175" s="36" t="s">
        <v>263</v>
      </c>
      <c r="AE175" s="22">
        <f t="shared" si="29"/>
        <v>0.39201371854013711</v>
      </c>
      <c r="AH175" s="36" t="s">
        <v>264</v>
      </c>
      <c r="AI175" s="22">
        <f t="shared" si="30"/>
        <v>0.30185262312131628</v>
      </c>
      <c r="AL175" s="36" t="s">
        <v>265</v>
      </c>
      <c r="AM175" s="22">
        <f>MAX($B$1 - AM103,0)</f>
        <v>0.13507753537481371</v>
      </c>
    </row>
    <row r="176" spans="6:39" x14ac:dyDescent="0.2">
      <c r="L176" s="36" t="s">
        <v>259</v>
      </c>
      <c r="M176" s="22">
        <f>EXP(-$B$89*1/16) * (O175*$B$92 + O177*$B$93)</f>
        <v>0.8417702617070012</v>
      </c>
      <c r="P176" s="36" t="s">
        <v>260</v>
      </c>
      <c r="Q176" s="22">
        <f t="shared" si="26"/>
        <v>0.80472815827347799</v>
      </c>
      <c r="T176" s="36" t="s">
        <v>261</v>
      </c>
      <c r="U176" s="22">
        <f t="shared" si="27"/>
        <v>0.76390353474043038</v>
      </c>
      <c r="X176" s="36" t="s">
        <v>262</v>
      </c>
      <c r="Y176" s="22">
        <f t="shared" si="28"/>
        <v>0.71823351039245975</v>
      </c>
      <c r="AB176" s="36" t="s">
        <v>263</v>
      </c>
      <c r="AC176" s="22">
        <f t="shared" si="29"/>
        <v>0.66600106846492269</v>
      </c>
      <c r="AF176" s="36" t="s">
        <v>264</v>
      </c>
      <c r="AG176" s="22">
        <f t="shared" si="30"/>
        <v>0.60405558950905847</v>
      </c>
      <c r="AJ176" s="36" t="s">
        <v>265</v>
      </c>
      <c r="AK176" s="22">
        <f t="shared" ref="S176:AK185" si="31">EXP(-$B$89*1/16) * (AM175*$B$92 + AM177*$B$93)</f>
        <v>0.52509410696310732</v>
      </c>
    </row>
    <row r="177" spans="6:39" x14ac:dyDescent="0.2">
      <c r="J177" s="36" t="s">
        <v>259</v>
      </c>
      <c r="K177" s="22">
        <f>EXP(-$B$89*1/16) * (M176*$B$92 + M178*$B$93)</f>
        <v>1.0939271185294144</v>
      </c>
      <c r="N177" s="36" t="s">
        <v>260</v>
      </c>
      <c r="O177" s="22">
        <f t="shared" si="26"/>
        <v>1.065450284297113</v>
      </c>
      <c r="R177" s="36" t="s">
        <v>261</v>
      </c>
      <c r="S177" s="22">
        <f t="shared" si="27"/>
        <v>1.0349393719237723</v>
      </c>
      <c r="V177" s="36" t="s">
        <v>262</v>
      </c>
      <c r="W177" s="22">
        <f t="shared" si="28"/>
        <v>1.0021892413033664</v>
      </c>
      <c r="Z177" s="36" t="s">
        <v>263</v>
      </c>
      <c r="AA177" s="22">
        <f t="shared" si="29"/>
        <v>0.96710659470665339</v>
      </c>
      <c r="AD177" s="36" t="s">
        <v>264</v>
      </c>
      <c r="AE177" s="22">
        <f t="shared" si="30"/>
        <v>0.93015466223410526</v>
      </c>
      <c r="AH177" s="36" t="s">
        <v>265</v>
      </c>
      <c r="AI177" s="22">
        <f t="shared" si="31"/>
        <v>0.89479717195870734</v>
      </c>
      <c r="AL177" s="36" t="s">
        <v>266</v>
      </c>
      <c r="AM177" s="22">
        <f>MAX($B$1 - AM105,0)</f>
        <v>0.89911997700360224</v>
      </c>
    </row>
    <row r="178" spans="6:39" x14ac:dyDescent="0.2">
      <c r="H178" s="36" t="s">
        <v>259</v>
      </c>
      <c r="I178" s="22">
        <f>EXP(-$B$89*1/16) * (K177*$B$92 + K179*$B$93)</f>
        <v>1.3591050850457329</v>
      </c>
      <c r="L178" s="36" t="s">
        <v>260</v>
      </c>
      <c r="M178" s="22">
        <f t="shared" si="26"/>
        <v>1.3392996943431006</v>
      </c>
      <c r="P178" s="36" t="s">
        <v>261</v>
      </c>
      <c r="Q178" s="22">
        <f t="shared" si="27"/>
        <v>1.3188484721861473</v>
      </c>
      <c r="T178" s="36" t="s">
        <v>262</v>
      </c>
      <c r="U178" s="22">
        <f t="shared" si="28"/>
        <v>1.2980192554011156</v>
      </c>
      <c r="X178" s="36" t="s">
        <v>263</v>
      </c>
      <c r="Y178" s="22">
        <f t="shared" si="29"/>
        <v>1.2774230703527691</v>
      </c>
      <c r="AB178" s="36" t="s">
        <v>264</v>
      </c>
      <c r="AC178" s="22">
        <f t="shared" si="30"/>
        <v>1.2585130276418959</v>
      </c>
      <c r="AF178" s="36" t="s">
        <v>265</v>
      </c>
      <c r="AG178" s="22">
        <f t="shared" si="31"/>
        <v>1.2451972999442489</v>
      </c>
      <c r="AJ178" s="36" t="s">
        <v>266</v>
      </c>
      <c r="AK178" s="22">
        <f t="shared" ref="U178:AK186" si="32">EXP(-$B$89*1/16) * (AM177*$B$92 + AM179*$B$93)</f>
        <v>1.2512129036349773</v>
      </c>
    </row>
    <row r="179" spans="6:39" x14ac:dyDescent="0.2">
      <c r="F179" s="38" t="s">
        <v>268</v>
      </c>
      <c r="G179" s="22">
        <f>EXP(-$B$89*1/16) * (I178*$B$92 + I180*$B$93)</f>
        <v>1.630022195027113</v>
      </c>
      <c r="J179" s="36" t="s">
        <v>260</v>
      </c>
      <c r="K179" s="22">
        <f t="shared" si="26"/>
        <v>1.6181315711511994</v>
      </c>
      <c r="N179" s="36" t="s">
        <v>261</v>
      </c>
      <c r="O179" s="22">
        <f t="shared" si="27"/>
        <v>1.6064937914860711</v>
      </c>
      <c r="R179" s="36" t="s">
        <v>262</v>
      </c>
      <c r="S179" s="22">
        <f t="shared" si="28"/>
        <v>1.5955296612466467</v>
      </c>
      <c r="V179" s="36" t="s">
        <v>263</v>
      </c>
      <c r="W179" s="22">
        <f t="shared" si="29"/>
        <v>1.585958863985492</v>
      </c>
      <c r="Z179" s="36" t="s">
        <v>264</v>
      </c>
      <c r="AA179" s="22">
        <f t="shared" si="30"/>
        <v>1.579066284132689</v>
      </c>
      <c r="AD179" s="36" t="s">
        <v>265</v>
      </c>
      <c r="AE179" s="22">
        <f t="shared" si="31"/>
        <v>1.5772548948231699</v>
      </c>
      <c r="AH179" s="36" t="s">
        <v>266</v>
      </c>
      <c r="AI179" s="22">
        <f t="shared" si="32"/>
        <v>1.5848746835642331</v>
      </c>
      <c r="AL179" s="36" t="s">
        <v>267</v>
      </c>
      <c r="AM179" s="22">
        <f>MAX($B$1 - AM107,0)</f>
        <v>1.59253128384454</v>
      </c>
    </row>
    <row r="180" spans="6:39" x14ac:dyDescent="0.2">
      <c r="H180" s="36" t="s">
        <v>260</v>
      </c>
      <c r="I180" s="22">
        <f t="shared" si="26"/>
        <v>1.8957924099821832</v>
      </c>
      <c r="L180" s="36" t="s">
        <v>261</v>
      </c>
      <c r="M180" s="22">
        <f t="shared" si="27"/>
        <v>1.8913858300308388</v>
      </c>
      <c r="P180" s="36" t="s">
        <v>262</v>
      </c>
      <c r="Q180" s="22">
        <f t="shared" si="28"/>
        <v>1.8880894154084971</v>
      </c>
      <c r="T180" s="36" t="s">
        <v>263</v>
      </c>
      <c r="U180" s="22">
        <f t="shared" si="29"/>
        <v>1.8864716802034629</v>
      </c>
      <c r="X180" s="36" t="s">
        <v>264</v>
      </c>
      <c r="Y180" s="22">
        <f t="shared" si="30"/>
        <v>1.8873592114681381</v>
      </c>
      <c r="AB180" s="36" t="s">
        <v>265</v>
      </c>
      <c r="AC180" s="22">
        <f t="shared" si="31"/>
        <v>1.8918826848326655</v>
      </c>
      <c r="AF180" s="36" t="s">
        <v>266</v>
      </c>
      <c r="AG180" s="22">
        <f t="shared" si="32"/>
        <v>1.9010224544593859</v>
      </c>
      <c r="AJ180" s="36" t="s">
        <v>267</v>
      </c>
      <c r="AK180" s="22">
        <f t="shared" ref="W180:AK187" si="33">EXP(-$B$89*1/16) * (AM179*$B$92 + AM181*$B$93)</f>
        <v>1.9102063787207981</v>
      </c>
    </row>
    <row r="181" spans="6:39" x14ac:dyDescent="0.2">
      <c r="J181" s="36" t="s">
        <v>261</v>
      </c>
      <c r="K181" s="22">
        <f t="shared" si="27"/>
        <v>2.1692391323811124</v>
      </c>
      <c r="N181" s="36" t="s">
        <v>262</v>
      </c>
      <c r="O181" s="22">
        <f t="shared" si="28"/>
        <v>2.1717006484914023</v>
      </c>
      <c r="R181" s="36" t="s">
        <v>263</v>
      </c>
      <c r="S181" s="22">
        <f t="shared" si="29"/>
        <v>2.175693410003483</v>
      </c>
      <c r="V181" s="36" t="s">
        <v>264</v>
      </c>
      <c r="W181" s="22">
        <f t="shared" si="30"/>
        <v>2.1816445965784435</v>
      </c>
      <c r="Z181" s="36" t="s">
        <v>265</v>
      </c>
      <c r="AA181" s="22">
        <f t="shared" si="31"/>
        <v>2.1899480889635221</v>
      </c>
      <c r="AD181" s="36" t="s">
        <v>266</v>
      </c>
      <c r="AE181" s="22">
        <f t="shared" si="32"/>
        <v>2.2005278258510512</v>
      </c>
      <c r="AH181" s="36" t="s">
        <v>267</v>
      </c>
      <c r="AI181" s="22">
        <f t="shared" si="33"/>
        <v>2.2111586739193312</v>
      </c>
      <c r="AL181" s="36" t="s">
        <v>293</v>
      </c>
      <c r="AM181" s="22">
        <f>MAX($B$1 - AM109,0)</f>
        <v>2.221840880088755</v>
      </c>
    </row>
    <row r="182" spans="6:39" x14ac:dyDescent="0.2">
      <c r="L182" s="36" t="s">
        <v>262</v>
      </c>
      <c r="M182" s="22">
        <f t="shared" si="28"/>
        <v>2.4441574152858401</v>
      </c>
      <c r="P182" s="36" t="s">
        <v>263</v>
      </c>
      <c r="Q182" s="22">
        <f t="shared" si="29"/>
        <v>2.452115862581095</v>
      </c>
      <c r="T182" s="36" t="s">
        <v>264</v>
      </c>
      <c r="U182" s="22">
        <f t="shared" si="30"/>
        <v>2.4614723148850737</v>
      </c>
      <c r="X182" s="36" t="s">
        <v>265</v>
      </c>
      <c r="Y182" s="22">
        <f t="shared" si="31"/>
        <v>2.4722754659214319</v>
      </c>
      <c r="AB182" s="36" t="s">
        <v>266</v>
      </c>
      <c r="AC182" s="22">
        <f t="shared" si="32"/>
        <v>2.4842191389585957</v>
      </c>
      <c r="AF182" s="36" t="s">
        <v>267</v>
      </c>
      <c r="AG182" s="22">
        <f t="shared" si="33"/>
        <v>2.4962205124128789</v>
      </c>
      <c r="AJ182" s="36" t="s">
        <v>293</v>
      </c>
      <c r="AK182" s="22">
        <f t="shared" ref="Y182:AK188" si="34">EXP(-$B$89*1/16) * (AM181*$B$92 + AM183*$B$93)</f>
        <v>2.5082798650375708</v>
      </c>
    </row>
    <row r="183" spans="6:39" x14ac:dyDescent="0.2">
      <c r="N183" s="36" t="s">
        <v>263</v>
      </c>
      <c r="O183" s="22">
        <f t="shared" si="29"/>
        <v>2.7152297902361417</v>
      </c>
      <c r="R183" s="36" t="s">
        <v>264</v>
      </c>
      <c r="S183" s="22">
        <f t="shared" si="30"/>
        <v>2.7270036694786124</v>
      </c>
      <c r="V183" s="36" t="s">
        <v>265</v>
      </c>
      <c r="W183" s="22">
        <f t="shared" si="31"/>
        <v>2.7396482514599136</v>
      </c>
      <c r="Z183" s="36" t="s">
        <v>266</v>
      </c>
      <c r="AA183" s="22">
        <f t="shared" si="32"/>
        <v>2.7528836143486028</v>
      </c>
      <c r="AD183" s="36" t="s">
        <v>267</v>
      </c>
      <c r="AE183" s="22">
        <f t="shared" si="33"/>
        <v>2.7661829178656929</v>
      </c>
      <c r="AH183" s="36" t="s">
        <v>293</v>
      </c>
      <c r="AI183" s="22">
        <f t="shared" si="34"/>
        <v>2.7795464709112112</v>
      </c>
      <c r="AL183" s="36" t="s">
        <v>294</v>
      </c>
      <c r="AM183" s="22">
        <f>MAX($B$1 - AM111,0)</f>
        <v>2.7929745838774949</v>
      </c>
    </row>
    <row r="184" spans="6:39" x14ac:dyDescent="0.2">
      <c r="P184" s="36" t="s">
        <v>264</v>
      </c>
      <c r="Q184" s="22">
        <f t="shared" si="30"/>
        <v>2.9786786640705905</v>
      </c>
      <c r="T184" s="36" t="s">
        <v>265</v>
      </c>
      <c r="U184" s="22">
        <f t="shared" si="31"/>
        <v>2.9928109896255641</v>
      </c>
      <c r="X184" s="36" t="s">
        <v>266</v>
      </c>
      <c r="Y184" s="22">
        <f t="shared" si="32"/>
        <v>3.0072693929931655</v>
      </c>
      <c r="AB184" s="36" t="s">
        <v>267</v>
      </c>
      <c r="AC184" s="22">
        <f t="shared" si="33"/>
        <v>3.0217976455522679</v>
      </c>
      <c r="AF184" s="36" t="s">
        <v>293</v>
      </c>
      <c r="AG184" s="22">
        <f t="shared" si="34"/>
        <v>3.0363960847474303</v>
      </c>
      <c r="AJ184" s="36" t="s">
        <v>294</v>
      </c>
      <c r="AK184" s="22">
        <f t="shared" ref="AA184:AK189" si="35">EXP(-$B$89*1/16) * (AM183*$B$92 + AM185*$B$93)</f>
        <v>3.0510650496534217</v>
      </c>
    </row>
    <row r="185" spans="6:39" x14ac:dyDescent="0.2">
      <c r="R185" s="36" t="s">
        <v>265</v>
      </c>
      <c r="S185" s="22">
        <f t="shared" si="31"/>
        <v>3.2324712631813624</v>
      </c>
      <c r="V185" s="36" t="s">
        <v>266</v>
      </c>
      <c r="W185" s="22">
        <f t="shared" si="32"/>
        <v>3.2480874760191476</v>
      </c>
      <c r="Z185" s="36" t="s">
        <v>267</v>
      </c>
      <c r="AA185" s="22">
        <f t="shared" si="33"/>
        <v>3.2637791314776217</v>
      </c>
      <c r="AD185" s="36" t="s">
        <v>293</v>
      </c>
      <c r="AE185" s="22">
        <f t="shared" si="34"/>
        <v>3.2795465940234498</v>
      </c>
      <c r="AH185" s="36" t="s">
        <v>294</v>
      </c>
      <c r="AI185" s="22">
        <f t="shared" si="35"/>
        <v>3.2953902298840507</v>
      </c>
      <c r="AL185" s="36" t="s">
        <v>295</v>
      </c>
      <c r="AM185" s="22">
        <f>MAX($B$1 - AM113,0)</f>
        <v>3.3113104070561068</v>
      </c>
    </row>
    <row r="186" spans="6:39" x14ac:dyDescent="0.2">
      <c r="T186" s="36" t="s">
        <v>266</v>
      </c>
      <c r="U186" s="22">
        <f t="shared" si="32"/>
        <v>3.4760135681769531</v>
      </c>
      <c r="X186" s="36" t="s">
        <v>267</v>
      </c>
      <c r="Y186" s="22">
        <f t="shared" si="33"/>
        <v>3.4928063447519433</v>
      </c>
      <c r="AB186" s="36" t="s">
        <v>293</v>
      </c>
      <c r="AC186" s="22">
        <f t="shared" si="34"/>
        <v>3.5096802479795102</v>
      </c>
      <c r="AF186" s="36" t="s">
        <v>294</v>
      </c>
      <c r="AG186" s="22">
        <f t="shared" si="35"/>
        <v>3.5266356697861307</v>
      </c>
      <c r="AJ186" s="36" t="s">
        <v>295</v>
      </c>
      <c r="AK186" s="22">
        <f t="shared" ref="AC186:AK190" si="36">EXP(-$B$89*1/16) * (AM185*$B$92 + AM187*$B$93)</f>
        <v>3.5436730039916955</v>
      </c>
    </row>
    <row r="187" spans="6:39" x14ac:dyDescent="0.2">
      <c r="V187" s="36" t="s">
        <v>267</v>
      </c>
      <c r="W187" s="22">
        <f t="shared" si="33"/>
        <v>3.709524548021625</v>
      </c>
      <c r="Z187" s="36" t="s">
        <v>293</v>
      </c>
      <c r="AA187" s="22">
        <f t="shared" si="34"/>
        <v>3.7274454265546275</v>
      </c>
      <c r="AD187" s="36" t="s">
        <v>294</v>
      </c>
      <c r="AE187" s="22">
        <f t="shared" si="35"/>
        <v>3.7454528816510781</v>
      </c>
      <c r="AH187" s="36" t="s">
        <v>295</v>
      </c>
      <c r="AI187" s="22">
        <f t="shared" si="36"/>
        <v>3.7635473315662167</v>
      </c>
      <c r="AL187" s="36" t="s">
        <v>296</v>
      </c>
      <c r="AM187" s="22">
        <f>MAX($B$1 - AM115,0)</f>
        <v>3.7817291965758919</v>
      </c>
    </row>
    <row r="188" spans="6:39" x14ac:dyDescent="0.2">
      <c r="X188" s="36" t="s">
        <v>293</v>
      </c>
      <c r="Y188" s="22">
        <f t="shared" si="34"/>
        <v>3.9334583215202636</v>
      </c>
      <c r="AB188" s="36" t="s">
        <v>294</v>
      </c>
      <c r="AC188" s="22">
        <f t="shared" si="35"/>
        <v>3.9524610341002862</v>
      </c>
      <c r="AF188" s="36" t="s">
        <v>295</v>
      </c>
      <c r="AG188" s="22">
        <f t="shared" si="36"/>
        <v>3.9715555496322872</v>
      </c>
      <c r="AJ188" s="36" t="s">
        <v>296</v>
      </c>
      <c r="AK188" s="22">
        <f t="shared" ref="AE188:AK191" si="37">EXP(-$B$89*1/16) * (AM187*$B$92 + AM189*$B$93)</f>
        <v>3.9907423116204215</v>
      </c>
    </row>
    <row r="189" spans="6:39" x14ac:dyDescent="0.2">
      <c r="Z189" s="36" t="s">
        <v>294</v>
      </c>
      <c r="AA189" s="22">
        <f t="shared" si="35"/>
        <v>4.1482485574933259</v>
      </c>
      <c r="AD189" s="36" t="s">
        <v>295</v>
      </c>
      <c r="AE189" s="22">
        <f t="shared" si="36"/>
        <v>4.16828893128279</v>
      </c>
      <c r="AH189" s="36" t="s">
        <v>296</v>
      </c>
      <c r="AI189" s="22">
        <f t="shared" si="37"/>
        <v>4.1884261210118119</v>
      </c>
      <c r="AL189" s="36" t="s">
        <v>297</v>
      </c>
      <c r="AM189" s="22">
        <f>MAX($B$1 - AM117,0)</f>
        <v>4.2086605944025166</v>
      </c>
    </row>
    <row r="190" spans="6:39" x14ac:dyDescent="0.2">
      <c r="AB190" s="36" t="s">
        <v>295</v>
      </c>
      <c r="AC190" s="22">
        <f t="shared" si="36"/>
        <v>4.3543093959446084</v>
      </c>
      <c r="AF190" s="36" t="s">
        <v>296</v>
      </c>
      <c r="AG190" s="22">
        <f t="shared" si="37"/>
        <v>4.375345258834761</v>
      </c>
      <c r="AJ190" s="36" t="s">
        <v>297</v>
      </c>
      <c r="AK190" s="22">
        <f t="shared" ref="AG190:AK192" si="38">EXP(-$B$89*1/16) * (AM189*$B$92 + AM191*$B$93)</f>
        <v>4.3964827469167158</v>
      </c>
    </row>
    <row r="191" spans="6:39" x14ac:dyDescent="0.2">
      <c r="AD191" s="36" t="s">
        <v>296</v>
      </c>
      <c r="AE191" s="22">
        <f t="shared" si="37"/>
        <v>4.5520363277357152</v>
      </c>
      <c r="AH191" s="36" t="s">
        <v>297</v>
      </c>
      <c r="AI191" s="22">
        <f t="shared" si="38"/>
        <v>4.5740274182517968</v>
      </c>
      <c r="AL191" s="36" t="s">
        <v>298</v>
      </c>
      <c r="AM191" s="22">
        <f>MAX($B$1 - AM119,0)</f>
        <v>4.5961247487069432</v>
      </c>
    </row>
    <row r="192" spans="6:39" x14ac:dyDescent="0.2">
      <c r="AF192" s="36" t="s">
        <v>297</v>
      </c>
      <c r="AG192" s="22">
        <f t="shared" si="38"/>
        <v>4.7418070346362731</v>
      </c>
      <c r="AJ192" s="36" t="s">
        <v>298</v>
      </c>
      <c r="AK192" s="22">
        <f t="shared" ref="AI192:AK193" si="39">EXP(-$B$89*1/16) * (AM191*$B$92 + AM193*$B$93)</f>
        <v>4.7647149159009956</v>
      </c>
    </row>
    <row r="193" spans="1:39" x14ac:dyDescent="0.2">
      <c r="AH193" s="36" t="s">
        <v>298</v>
      </c>
      <c r="AI193" s="22">
        <f t="shared" si="39"/>
        <v>4.9239821915347237</v>
      </c>
      <c r="AL193" s="36" t="s">
        <v>299</v>
      </c>
      <c r="AM193" s="22">
        <f>MAX($B$1 - AM121,0)</f>
        <v>4.9477701691072742</v>
      </c>
    </row>
    <row r="194" spans="1:39" x14ac:dyDescent="0.2">
      <c r="AJ194" s="36" t="s">
        <v>299</v>
      </c>
      <c r="AK194" s="22">
        <f t="shared" ref="AK194" si="40">EXP(-$B$89*1/16) * (AM193*$B$92 + AM195*$B$93)</f>
        <v>5.0989062325141603</v>
      </c>
    </row>
    <row r="195" spans="1:39" x14ac:dyDescent="0.2">
      <c r="AL195" s="36" t="s">
        <v>300</v>
      </c>
      <c r="AM195" s="22">
        <f>MAX($B$1 - AM123,0)</f>
        <v>5.266908082420855</v>
      </c>
    </row>
    <row r="197" spans="1:39" x14ac:dyDescent="0.2">
      <c r="AL197" s="35"/>
    </row>
    <row r="198" spans="1:39" s="48" customFormat="1" x14ac:dyDescent="0.2">
      <c r="A198" s="48" t="s">
        <v>129</v>
      </c>
    </row>
    <row r="200" spans="1:39" x14ac:dyDescent="0.2">
      <c r="A200" t="s">
        <v>128</v>
      </c>
      <c r="B200" s="33">
        <f>(POWER($B$3 + 1, 1/32) - 1) / (1/32)</f>
        <v>3.853210161663867E-2</v>
      </c>
      <c r="E200" s="12" t="s">
        <v>9</v>
      </c>
    </row>
    <row r="201" spans="1:39" x14ac:dyDescent="0.2">
      <c r="A201" t="s">
        <v>4</v>
      </c>
      <c r="B201">
        <f>EXP(($B$200*(1/32)) + $B$7 * SQRT(1/32))</f>
        <v>1.0361364120819345</v>
      </c>
      <c r="E201" t="s">
        <v>47</v>
      </c>
    </row>
    <row r="202" spans="1:39" x14ac:dyDescent="0.2">
      <c r="A202" t="s">
        <v>3</v>
      </c>
      <c r="B202">
        <f>EXP(($B$200*(1/32)) - $B$7 * SQRT(1/32))</f>
        <v>0.96745095225006039</v>
      </c>
      <c r="E202" t="s">
        <v>54</v>
      </c>
    </row>
    <row r="203" spans="1:39" x14ac:dyDescent="0.2">
      <c r="A203" t="s">
        <v>238</v>
      </c>
      <c r="B203">
        <f>(EXP(B200*1/32) - B202) / (B201-B202)</f>
        <v>0.49142717048823675</v>
      </c>
    </row>
    <row r="204" spans="1:39" x14ac:dyDescent="0.2">
      <c r="A204" t="s">
        <v>239</v>
      </c>
      <c r="B204">
        <f>(B201 - EXP(B200*1/32)) / (B201-B202)</f>
        <v>0.50857282951176319</v>
      </c>
    </row>
    <row r="209" spans="41:71" x14ac:dyDescent="0.2">
      <c r="BS209" s="35"/>
    </row>
    <row r="210" spans="41:71" x14ac:dyDescent="0.2">
      <c r="BQ210" s="23" t="s">
        <v>364</v>
      </c>
      <c r="BR210" s="22">
        <f>BP211*$B$201</f>
        <v>20.397796405253118</v>
      </c>
    </row>
    <row r="211" spans="41:71" x14ac:dyDescent="0.2">
      <c r="BO211" s="23" t="s">
        <v>397</v>
      </c>
      <c r="BP211" s="22">
        <f>BN212*$B$201</f>
        <v>19.686400523525005</v>
      </c>
      <c r="BS211" s="35"/>
    </row>
    <row r="212" spans="41:71" x14ac:dyDescent="0.2">
      <c r="BM212" s="23" t="s">
        <v>429</v>
      </c>
      <c r="BN212" s="22">
        <f>BL213*$B$201</f>
        <v>18.999815365979305</v>
      </c>
      <c r="BQ212" s="23" t="s">
        <v>365</v>
      </c>
      <c r="BR212" s="22">
        <f>BP213*$B$201</f>
        <v>19.045626932860362</v>
      </c>
    </row>
    <row r="213" spans="41:71" x14ac:dyDescent="0.2">
      <c r="BK213" s="23" t="s">
        <v>460</v>
      </c>
      <c r="BL213" s="22">
        <f>BJ214*$B$201</f>
        <v>18.337175630960122</v>
      </c>
      <c r="BO213" s="23" t="s">
        <v>398</v>
      </c>
      <c r="BP213" s="22">
        <f>BN214*$B$201</f>
        <v>18.381389468392015</v>
      </c>
      <c r="BS213" s="35"/>
    </row>
    <row r="214" spans="41:71" x14ac:dyDescent="0.2">
      <c r="BI214" s="23" t="s">
        <v>490</v>
      </c>
      <c r="BJ214" s="22">
        <f>BH215*$B$201</f>
        <v>17.697646195171139</v>
      </c>
      <c r="BM214" s="23" t="s">
        <v>430</v>
      </c>
      <c r="BN214" s="22">
        <f>BL215*$B$201</f>
        <v>17.74031802574898</v>
      </c>
      <c r="BQ214" s="23" t="s">
        <v>366</v>
      </c>
      <c r="BR214" s="22">
        <f>BP215*$B$201</f>
        <v>17.783092744875081</v>
      </c>
    </row>
    <row r="215" spans="41:71" x14ac:dyDescent="0.2">
      <c r="BG215" s="23" t="s">
        <v>519</v>
      </c>
      <c r="BH215" s="22">
        <f>BF216*$B$201</f>
        <v>17.080421061171684</v>
      </c>
      <c r="BK215" s="23" t="s">
        <v>461</v>
      </c>
      <c r="BL215" s="22">
        <f>BJ216*$B$201</f>
        <v>17.121604664102982</v>
      </c>
      <c r="BO215" s="23" t="s">
        <v>399</v>
      </c>
      <c r="BP215" s="22">
        <f>BN216*$B$201</f>
        <v>17.162887567229756</v>
      </c>
      <c r="BS215" s="35"/>
    </row>
    <row r="216" spans="41:71" x14ac:dyDescent="0.2">
      <c r="BE216" s="23" t="s">
        <v>547</v>
      </c>
      <c r="BF216" s="22">
        <f>BD217*$B$201</f>
        <v>16.484722341580074</v>
      </c>
      <c r="BI216" s="23" t="s">
        <v>491</v>
      </c>
      <c r="BJ216" s="22">
        <f>BH217*$B$201</f>
        <v>16.52446962046254</v>
      </c>
      <c r="BM216" s="23" t="s">
        <v>431</v>
      </c>
      <c r="BN216" s="22">
        <f>BL217*$B$201</f>
        <v>16.564312736335498</v>
      </c>
      <c r="BQ216" s="23" t="s">
        <v>367</v>
      </c>
      <c r="BR216" s="22">
        <f>BP217*$B$201</f>
        <v>16.60425192027715</v>
      </c>
    </row>
    <row r="217" spans="41:71" x14ac:dyDescent="0.2">
      <c r="BC217" s="23" t="s">
        <v>574</v>
      </c>
      <c r="BD217" s="22">
        <f>BB218*$B$201</f>
        <v>15.909799278703963</v>
      </c>
      <c r="BG217" s="23" t="s">
        <v>520</v>
      </c>
      <c r="BH217" s="22">
        <f>BF218*$B$201</f>
        <v>15.948160326939494</v>
      </c>
      <c r="BK217" s="23" t="s">
        <v>462</v>
      </c>
      <c r="BL217" s="22">
        <f>BJ218*$B$201</f>
        <v>15.986613869743673</v>
      </c>
      <c r="BO217" s="23" t="s">
        <v>400</v>
      </c>
      <c r="BP217" s="22">
        <f>BN218*$B$201</f>
        <v>16.025160130135582</v>
      </c>
      <c r="BS217" s="35"/>
    </row>
    <row r="218" spans="41:71" x14ac:dyDescent="0.2">
      <c r="BA218" s="23" t="s">
        <v>600</v>
      </c>
      <c r="BB218" s="22">
        <f>AZ219*$B$201</f>
        <v>15.354927298362201</v>
      </c>
      <c r="BE218" s="23" t="s">
        <v>548</v>
      </c>
      <c r="BF218" s="22">
        <f>BD219*$B$201</f>
        <v>15.391950462289479</v>
      </c>
      <c r="BI218" s="23" t="s">
        <v>492</v>
      </c>
      <c r="BJ218" s="22">
        <f>BH219*$B$201</f>
        <v>15.429062894934244</v>
      </c>
      <c r="BM218" s="23" t="s">
        <v>432</v>
      </c>
      <c r="BN218" s="22">
        <f>BL219*$B$201</f>
        <v>15.466264811537538</v>
      </c>
      <c r="BQ218" s="23" t="s">
        <v>368</v>
      </c>
      <c r="BR218" s="22">
        <f>BP219*$B$201</f>
        <v>15.503556427859371</v>
      </c>
    </row>
    <row r="219" spans="41:71" x14ac:dyDescent="0.2">
      <c r="AY219" s="23" t="s">
        <v>625</v>
      </c>
      <c r="AZ219" s="22">
        <f>AX220*$B$201</f>
        <v>14.819407096705699</v>
      </c>
      <c r="BC219" s="23" t="s">
        <v>575</v>
      </c>
      <c r="BD219" s="22">
        <f>BB220*$B$201</f>
        <v>14.855139036530964</v>
      </c>
      <c r="BG219" s="23" t="s">
        <v>521</v>
      </c>
      <c r="BH219" s="22">
        <f>BF220*$B$201</f>
        <v>14.89095713172771</v>
      </c>
      <c r="BK219" s="23" t="s">
        <v>463</v>
      </c>
      <c r="BL219" s="22">
        <f>BJ220*$B$201</f>
        <v>14.926861590030207</v>
      </c>
      <c r="BO219" s="23" t="s">
        <v>401</v>
      </c>
      <c r="BP219" s="22">
        <f>BN220*$B$201</f>
        <v>14.962852619673592</v>
      </c>
      <c r="BS219" s="35"/>
    </row>
    <row r="220" spans="41:71" x14ac:dyDescent="0.2">
      <c r="AW220" s="23" t="s">
        <v>649</v>
      </c>
      <c r="AX220" s="22">
        <f>AV221*$B$201</f>
        <v>14.302563758886437</v>
      </c>
      <c r="BA220" s="23" t="s">
        <v>601</v>
      </c>
      <c r="BB220" s="22">
        <f>AZ221*$B$201</f>
        <v>14.337049507489237</v>
      </c>
      <c r="BE220" s="23" t="s">
        <v>549</v>
      </c>
      <c r="BF220" s="22">
        <f>BD221*$B$201</f>
        <v>14.371618406698923</v>
      </c>
      <c r="BI220" s="23" t="s">
        <v>493</v>
      </c>
      <c r="BJ220" s="22">
        <f>BH221*$B$201</f>
        <v>14.4062706570048</v>
      </c>
      <c r="BM220" s="23" t="s">
        <v>433</v>
      </c>
      <c r="BN220" s="22">
        <f>BL221*$B$201</f>
        <v>14.441006459379574</v>
      </c>
      <c r="BQ220" s="23" t="s">
        <v>369</v>
      </c>
      <c r="BR220" s="22">
        <f>BP221*$B$201</f>
        <v>14.475826015280527</v>
      </c>
    </row>
    <row r="221" spans="41:71" x14ac:dyDescent="0.2">
      <c r="AU221" s="23" t="s">
        <v>672</v>
      </c>
      <c r="AV221" s="22">
        <f>AT222*$B$201</f>
        <v>13.803745908463869</v>
      </c>
      <c r="AY221" s="23" t="s">
        <v>626</v>
      </c>
      <c r="AZ221" s="22">
        <f>AX222*$B$201</f>
        <v>13.837028928151891</v>
      </c>
      <c r="BC221" s="23" t="s">
        <v>576</v>
      </c>
      <c r="BD221" s="22">
        <f>BB222*$B$201</f>
        <v>13.870392198476718</v>
      </c>
      <c r="BG221" s="23" t="s">
        <v>522</v>
      </c>
      <c r="BH221" s="22">
        <f>BF222*$B$201</f>
        <v>13.903835912935367</v>
      </c>
      <c r="BK221" s="23" t="s">
        <v>464</v>
      </c>
      <c r="BL221" s="22">
        <f>BJ222*$B$201</f>
        <v>13.937360265491396</v>
      </c>
      <c r="BO221" s="23" t="s">
        <v>402</v>
      </c>
      <c r="BP221" s="22">
        <f>BN222*$B$201</f>
        <v>13.97096545057604</v>
      </c>
      <c r="BS221" s="35"/>
    </row>
    <row r="222" spans="41:71" x14ac:dyDescent="0.2">
      <c r="AS222" s="23" t="s">
        <v>694</v>
      </c>
      <c r="AT222" s="22">
        <f>AR223*$B$201</f>
        <v>13.322324886476734</v>
      </c>
      <c r="AW222" s="23" t="s">
        <v>650</v>
      </c>
      <c r="AX222" s="22">
        <f>AV223*$B$201</f>
        <v>13.354447123761251</v>
      </c>
      <c r="BA222" s="23" t="s">
        <v>602</v>
      </c>
      <c r="BB222" s="22">
        <f>AZ223*$B$201</f>
        <v>13.386646812852177</v>
      </c>
      <c r="BE222" s="23" t="s">
        <v>550</v>
      </c>
      <c r="BF222" s="22">
        <f>BD223*$B$201</f>
        <v>13.418924140498108</v>
      </c>
      <c r="BI222" s="23" t="s">
        <v>494</v>
      </c>
      <c r="BJ222" s="22">
        <f>BH223*$B$201</f>
        <v>13.451279293897908</v>
      </c>
      <c r="BM222" s="23" t="s">
        <v>434</v>
      </c>
      <c r="BN222" s="22">
        <f>BL223*$B$201</f>
        <v>13.483712460701804</v>
      </c>
      <c r="BQ222" s="23" t="s">
        <v>370</v>
      </c>
      <c r="BR222" s="22">
        <f>BP223*$B$201</f>
        <v>13.516223829012487</v>
      </c>
    </row>
    <row r="223" spans="41:71" x14ac:dyDescent="0.2">
      <c r="AQ223" s="23" t="s">
        <v>715</v>
      </c>
      <c r="AR223" s="22">
        <f>AP224*$B$201</f>
        <v>12.857693959145646</v>
      </c>
      <c r="AU223" s="23" t="s">
        <v>673</v>
      </c>
      <c r="AV223" s="22">
        <f>AT224*$B$201</f>
        <v>12.888695897606599</v>
      </c>
      <c r="AY223" s="23" t="s">
        <v>627</v>
      </c>
      <c r="AZ223" s="22">
        <f>AX224*$B$201</f>
        <v>12.919772586655899</v>
      </c>
      <c r="BC223" s="23" t="s">
        <v>577</v>
      </c>
      <c r="BD223" s="22">
        <f>BB224*$B$201</f>
        <v>12.950924206529072</v>
      </c>
      <c r="BG223" s="23" t="s">
        <v>523</v>
      </c>
      <c r="BH223" s="22">
        <f>BF224*$B$201</f>
        <v>12.982150937896218</v>
      </c>
      <c r="BK223" s="23" t="s">
        <v>465</v>
      </c>
      <c r="BL223" s="22">
        <f>BJ224*$B$201</f>
        <v>13.013452961863051</v>
      </c>
      <c r="BO223" s="23" t="s">
        <v>403</v>
      </c>
      <c r="BP223" s="22">
        <f>BN224*$B$201</f>
        <v>13.044830459971969</v>
      </c>
      <c r="BS223" s="35"/>
    </row>
    <row r="224" spans="41:71" x14ac:dyDescent="0.2">
      <c r="AO224" s="23" t="s">
        <v>735</v>
      </c>
      <c r="AP224" s="22">
        <f>AN225*$B$201</f>
        <v>12.409267553207945</v>
      </c>
      <c r="AS224" s="23" t="s">
        <v>695</v>
      </c>
      <c r="AT224" s="22">
        <f>AR225*$B$201</f>
        <v>12.439188264515311</v>
      </c>
      <c r="AW224" s="23" t="s">
        <v>651</v>
      </c>
      <c r="AX224" s="22">
        <f>AV225*$B$201</f>
        <v>12.469181119400949</v>
      </c>
      <c r="BA224" s="23" t="s">
        <v>603</v>
      </c>
      <c r="BB224" s="22">
        <f>AZ225*$B$201</f>
        <v>12.499246291814472</v>
      </c>
      <c r="BE224" s="23" t="s">
        <v>551</v>
      </c>
      <c r="BF224" s="22">
        <f>BD225*$B$201</f>
        <v>12.52938395612491</v>
      </c>
      <c r="BI224" s="23" t="s">
        <v>495</v>
      </c>
      <c r="BJ224" s="22">
        <f>BH225*$B$201</f>
        <v>12.55959428712171</v>
      </c>
      <c r="BM224" s="23" t="s">
        <v>435</v>
      </c>
      <c r="BN224" s="22">
        <f>BL225*$B$201</f>
        <v>12.58987746001578</v>
      </c>
      <c r="BQ224" s="23" t="s">
        <v>371</v>
      </c>
      <c r="BR224" s="22">
        <f>BP225*$B$201</f>
        <v>12.620233650440476</v>
      </c>
    </row>
    <row r="225" spans="5:71" x14ac:dyDescent="0.2">
      <c r="AM225" s="23" t="s">
        <v>754</v>
      </c>
      <c r="AN225" s="22">
        <f>AL226*$B$201</f>
        <v>11.976480517921088</v>
      </c>
      <c r="AQ225" s="23" t="s">
        <v>716</v>
      </c>
      <c r="AR225" s="22">
        <f>AP226*$B$201</f>
        <v>12.005357711076808</v>
      </c>
      <c r="AU225" s="23" t="s">
        <v>674</v>
      </c>
      <c r="AV225" s="22">
        <f>AT226*$B$201</f>
        <v>12.034304531723111</v>
      </c>
      <c r="AY225" s="23" t="s">
        <v>628</v>
      </c>
      <c r="AZ225" s="22">
        <f>AX226*$B$201</f>
        <v>12.063321147742919</v>
      </c>
      <c r="BC225" s="23" t="s">
        <v>578</v>
      </c>
      <c r="BD225" s="22">
        <f>BB226*$B$201</f>
        <v>12.092407727423948</v>
      </c>
      <c r="BG225" s="23" t="s">
        <v>524</v>
      </c>
      <c r="BH225" s="22">
        <f>BF226*$B$201</f>
        <v>12.121564439459672</v>
      </c>
      <c r="BK225" s="23" t="s">
        <v>466</v>
      </c>
      <c r="BL225" s="22">
        <f>BJ226*$B$201</f>
        <v>12.150791452950319</v>
      </c>
      <c r="BO225" s="23" t="s">
        <v>404</v>
      </c>
      <c r="BP225" s="22">
        <f>BN226*$B$201</f>
        <v>12.180088937403838</v>
      </c>
      <c r="BS225" s="35"/>
    </row>
    <row r="226" spans="5:71" x14ac:dyDescent="0.2">
      <c r="AK226" s="23" t="s">
        <v>221</v>
      </c>
      <c r="AL226" s="22">
        <f>AJ227*$B$201</f>
        <v>11.558787412804506</v>
      </c>
      <c r="AO226" s="23" t="s">
        <v>736</v>
      </c>
      <c r="AP226" s="22">
        <f>AN227*$B$201</f>
        <v>11.586657481667057</v>
      </c>
      <c r="AS226" s="23" t="s">
        <v>696</v>
      </c>
      <c r="AT226" s="22">
        <f>AR227*$B$201</f>
        <v>11.614594749683862</v>
      </c>
      <c r="AW226" s="23" t="s">
        <v>652</v>
      </c>
      <c r="AX226" s="22">
        <f>AV227*$B$201</f>
        <v>11.642599378882737</v>
      </c>
      <c r="BA226" s="23" t="s">
        <v>604</v>
      </c>
      <c r="BB226" s="22">
        <f>AZ227*$B$201</f>
        <v>11.67067153168218</v>
      </c>
      <c r="BE226" s="23" t="s">
        <v>552</v>
      </c>
      <c r="BF226" s="22">
        <f>BD227*$B$201</f>
        <v>11.698811370892287</v>
      </c>
      <c r="BI226" s="23" t="s">
        <v>496</v>
      </c>
      <c r="BJ226" s="22">
        <f>BH227*$B$201</f>
        <v>11.727019059715731</v>
      </c>
      <c r="BM226" s="23" t="s">
        <v>436</v>
      </c>
      <c r="BN226" s="22">
        <f>BL227*$B$201</f>
        <v>11.755294761748681</v>
      </c>
      <c r="BQ226" s="23" t="s">
        <v>372</v>
      </c>
      <c r="BR226" s="22">
        <f>BP227*$B$201</f>
        <v>11.783638640981771</v>
      </c>
    </row>
    <row r="227" spans="5:71" x14ac:dyDescent="0.2">
      <c r="AI227" s="23" t="s">
        <v>205</v>
      </c>
      <c r="AJ227" s="22">
        <f>AH228*$B$201</f>
        <v>11.155661820222251</v>
      </c>
      <c r="AM227" s="23" t="s">
        <v>755</v>
      </c>
      <c r="AN227" s="22">
        <f>AL228*$B$201</f>
        <v>11.182559889373735</v>
      </c>
      <c r="AQ227" s="23" t="s">
        <v>717</v>
      </c>
      <c r="AR227" s="22">
        <f>AP228*$B$201</f>
        <v>11.209522814034081</v>
      </c>
      <c r="AU227" s="23" t="s">
        <v>675</v>
      </c>
      <c r="AV227" s="22">
        <f>AT228*$B$201</f>
        <v>11.2365507505802</v>
      </c>
      <c r="AY227" s="23" t="s">
        <v>629</v>
      </c>
      <c r="AZ227" s="22">
        <f>AX228*$B$201</f>
        <v>11.263643855766068</v>
      </c>
      <c r="BC227" s="23" t="s">
        <v>579</v>
      </c>
      <c r="BD227" s="22">
        <f>BB228*$B$201</f>
        <v>11.290802286723594</v>
      </c>
      <c r="BG227" s="23" t="s">
        <v>525</v>
      </c>
      <c r="BH227" s="22">
        <f>BF228*$B$201</f>
        <v>11.31802620096358</v>
      </c>
      <c r="BK227" s="23" t="s">
        <v>467</v>
      </c>
      <c r="BL227" s="22">
        <f>BJ228*$B$201</f>
        <v>11.345315756376593</v>
      </c>
      <c r="BO227" s="23" t="s">
        <v>405</v>
      </c>
      <c r="BP227" s="22">
        <f>BN228*$B$201</f>
        <v>11.37267111123391</v>
      </c>
      <c r="BS227" s="35"/>
    </row>
    <row r="228" spans="5:71" x14ac:dyDescent="0.2">
      <c r="AG228" s="23" t="s">
        <v>190</v>
      </c>
      <c r="AH228" s="22">
        <f>AF229*$B$201</f>
        <v>10.766595681940087</v>
      </c>
      <c r="AK228" s="23" t="s">
        <v>222</v>
      </c>
      <c r="AL228" s="22">
        <f>AJ229*$B$201</f>
        <v>10.792555650953663</v>
      </c>
      <c r="AO228" s="23" t="s">
        <v>737</v>
      </c>
      <c r="AP228" s="22">
        <f>AN229*$B$201</f>
        <v>10.81857821356795</v>
      </c>
      <c r="AS228" s="23" t="s">
        <v>697</v>
      </c>
      <c r="AT228" s="22">
        <f>AR229*$B$201</f>
        <v>10.844663520706044</v>
      </c>
      <c r="AW228" s="23" t="s">
        <v>653</v>
      </c>
      <c r="AX228" s="22">
        <f>AV229*$B$201</f>
        <v>10.870811723654947</v>
      </c>
      <c r="BA228" s="23" t="s">
        <v>605</v>
      </c>
      <c r="BB228" s="22">
        <f>AZ229*$B$201</f>
        <v>10.897022974066422</v>
      </c>
      <c r="BE228" s="23" t="s">
        <v>553</v>
      </c>
      <c r="BF228" s="22">
        <f>BD229*$B$201</f>
        <v>10.923297423957903</v>
      </c>
      <c r="BI228" s="23" t="s">
        <v>497</v>
      </c>
      <c r="BJ228" s="22">
        <f>BH229*$B$201</f>
        <v>10.949635225713349</v>
      </c>
      <c r="BM228" s="23" t="s">
        <v>437</v>
      </c>
      <c r="BN228" s="22">
        <f>BL229*$B$201</f>
        <v>10.97603653208415</v>
      </c>
      <c r="BQ228" s="23" t="s">
        <v>373</v>
      </c>
      <c r="BR228" s="22">
        <f>BP229*$B$201</f>
        <v>11.002501496189996</v>
      </c>
    </row>
    <row r="229" spans="5:71" x14ac:dyDescent="0.2">
      <c r="AE229" s="23" t="s">
        <v>176</v>
      </c>
      <c r="AF229" s="22">
        <f>AD230*$B$201</f>
        <v>10.391098658820898</v>
      </c>
      <c r="AI229" s="23" t="s">
        <v>206</v>
      </c>
      <c r="AJ229" s="22">
        <f>AH230*$B$201</f>
        <v>10.416153244984329</v>
      </c>
      <c r="AM229" s="23" t="s">
        <v>756</v>
      </c>
      <c r="AN229" s="22">
        <f>AL230*$B$201</f>
        <v>10.44126824172689</v>
      </c>
      <c r="AQ229" s="23" t="s">
        <v>718</v>
      </c>
      <c r="AR229" s="22">
        <f>AP230*$B$201</f>
        <v>10.466443794708066</v>
      </c>
      <c r="AU229" s="23" t="s">
        <v>676</v>
      </c>
      <c r="AV229" s="22">
        <f>AT230*$B$201</f>
        <v>10.491680049938557</v>
      </c>
      <c r="AY229" s="23" t="s">
        <v>630</v>
      </c>
      <c r="AZ229" s="22">
        <f>AX230*$B$201</f>
        <v>10.516977153781097</v>
      </c>
      <c r="BC229" s="23" t="s">
        <v>580</v>
      </c>
      <c r="BD229" s="22">
        <f>BB230*$B$201</f>
        <v>10.542335252951348</v>
      </c>
      <c r="BG229" s="23" t="s">
        <v>526</v>
      </c>
      <c r="BH229" s="22">
        <f>BF230*$B$201</f>
        <v>10.567754494518706</v>
      </c>
      <c r="BK229" s="23" t="s">
        <v>468</v>
      </c>
      <c r="BL229" s="22">
        <f>BJ230*$B$201</f>
        <v>10.593235025907186</v>
      </c>
      <c r="BO229" s="23" t="s">
        <v>406</v>
      </c>
      <c r="BP229" s="22">
        <f>BN230*$B$201</f>
        <v>10.618776994896258</v>
      </c>
      <c r="BS229" s="35"/>
    </row>
    <row r="230" spans="5:71" x14ac:dyDescent="0.2">
      <c r="F230" s="12"/>
      <c r="G230" s="12"/>
      <c r="H230" s="12"/>
      <c r="AC230" s="23" t="s">
        <v>163</v>
      </c>
      <c r="AD230" s="22">
        <f>AB231*$B$201</f>
        <v>10.028697512851426</v>
      </c>
      <c r="AG230" s="23" t="s">
        <v>191</v>
      </c>
      <c r="AH230" s="22">
        <f>AF231*$B$201</f>
        <v>10.052878292400607</v>
      </c>
      <c r="AK230" s="23" t="s">
        <v>223</v>
      </c>
      <c r="AL230" s="22">
        <f>AJ231*$B$201</f>
        <v>10.077117375642645</v>
      </c>
      <c r="AO230" s="23" t="s">
        <v>738</v>
      </c>
      <c r="AP230" s="22">
        <f>AN231*$B$201</f>
        <v>10.101414903156991</v>
      </c>
      <c r="AS230" s="23" t="s">
        <v>698</v>
      </c>
      <c r="AT230" s="22">
        <f>AR231*$B$201</f>
        <v>10.125771015862057</v>
      </c>
      <c r="AW230" s="23" t="s">
        <v>654</v>
      </c>
      <c r="AX230" s="22">
        <f>AV231*$B$201</f>
        <v>10.150185855016016</v>
      </c>
      <c r="BA230" s="23" t="s">
        <v>606</v>
      </c>
      <c r="BB230" s="22">
        <f>AZ231*$B$201</f>
        <v>10.174659562217656</v>
      </c>
      <c r="BE230" s="23" t="s">
        <v>554</v>
      </c>
      <c r="BF230" s="22">
        <f>BD231*$B$201</f>
        <v>10.199192279407164</v>
      </c>
      <c r="BI230" s="23" t="s">
        <v>498</v>
      </c>
      <c r="BJ230" s="22">
        <f>BH231*$B$201</f>
        <v>10.223784148866978</v>
      </c>
      <c r="BM230" s="23" t="s">
        <v>438</v>
      </c>
      <c r="BN230" s="22">
        <f>BL231*$B$201</f>
        <v>10.248435313222597</v>
      </c>
      <c r="BQ230" s="23" t="s">
        <v>374</v>
      </c>
      <c r="BR230" s="22">
        <f>BP231*$B$201</f>
        <v>10.27314591544342</v>
      </c>
    </row>
    <row r="231" spans="5:71" x14ac:dyDescent="0.2">
      <c r="AA231" s="23" t="s">
        <v>151</v>
      </c>
      <c r="AB231" s="22">
        <f>Z232*$B$201</f>
        <v>9.6789355107215247</v>
      </c>
      <c r="AE231" s="23" t="s">
        <v>177</v>
      </c>
      <c r="AF231" s="22">
        <f>AD232*$B$201</f>
        <v>9.7022729586359286</v>
      </c>
      <c r="AI231" s="23" t="s">
        <v>207</v>
      </c>
      <c r="AJ231" s="22">
        <f>AH232*$B$201</f>
        <v>9.7256666768369282</v>
      </c>
      <c r="AM231" s="23" t="s">
        <v>757</v>
      </c>
      <c r="AN231" s="22">
        <f>AL232*$B$201</f>
        <v>9.7491168010011044</v>
      </c>
      <c r="AQ231" s="23" t="s">
        <v>719</v>
      </c>
      <c r="AR231" s="22">
        <f>AP232*$B$201</f>
        <v>9.7726234671321848</v>
      </c>
      <c r="AU231" s="23" t="s">
        <v>677</v>
      </c>
      <c r="AV231" s="22">
        <f>AT232*$B$201</f>
        <v>9.7961868115618067</v>
      </c>
      <c r="AY231" s="23" t="s">
        <v>631</v>
      </c>
      <c r="AZ231" s="22">
        <f>AX232*$B$201</f>
        <v>9.8198069709503404</v>
      </c>
      <c r="BC231" s="23" t="s">
        <v>581</v>
      </c>
      <c r="BD231" s="22">
        <f>BB232*$B$201</f>
        <v>9.8434840822876541</v>
      </c>
      <c r="BG231" s="23" t="s">
        <v>527</v>
      </c>
      <c r="BH231" s="22">
        <f>BF232*$B$201</f>
        <v>9.8672182828939246</v>
      </c>
      <c r="BK231" s="23" t="s">
        <v>469</v>
      </c>
      <c r="BL231" s="22">
        <f>BJ232*$B$201</f>
        <v>9.8910097104204286</v>
      </c>
      <c r="BO231" s="23" t="s">
        <v>407</v>
      </c>
      <c r="BP231" s="22">
        <f>BN232*$B$201</f>
        <v>9.9148585028503469</v>
      </c>
      <c r="BS231" s="35"/>
    </row>
    <row r="232" spans="5:71" x14ac:dyDescent="0.2">
      <c r="Y232" s="23" t="s">
        <v>140</v>
      </c>
      <c r="Z232" s="22">
        <f>X233*$B$201</f>
        <v>9.3413718482042345</v>
      </c>
      <c r="AC232" s="23" t="s">
        <v>164</v>
      </c>
      <c r="AD232" s="22">
        <f>AB233*$B$201</f>
        <v>9.363895376614467</v>
      </c>
      <c r="AG232" s="23" t="s">
        <v>192</v>
      </c>
      <c r="AH232" s="22">
        <f>AF233*$B$201</f>
        <v>9.3864732128223398</v>
      </c>
      <c r="AK232" s="23" t="s">
        <v>224</v>
      </c>
      <c r="AL232" s="22">
        <f>AJ233*$B$201</f>
        <v>9.4091054877725639</v>
      </c>
      <c r="AO232" s="23" t="s">
        <v>739</v>
      </c>
      <c r="AP232" s="22">
        <f>AN233*$B$201</f>
        <v>9.4317923327255819</v>
      </c>
      <c r="AS232" s="23" t="s">
        <v>699</v>
      </c>
      <c r="AT232" s="22">
        <f>AR233*$B$201</f>
        <v>9.4545338792583173</v>
      </c>
      <c r="AW232" s="23" t="s">
        <v>655</v>
      </c>
      <c r="AX232" s="22">
        <f>AV233*$B$201</f>
        <v>9.4773302592649546</v>
      </c>
      <c r="BA232" s="23" t="s">
        <v>607</v>
      </c>
      <c r="BB232" s="22">
        <f>AZ233*$B$201</f>
        <v>9.5001816049576888</v>
      </c>
      <c r="BE232" s="23" t="s">
        <v>555</v>
      </c>
      <c r="BF232" s="22">
        <f>BD233*$B$201</f>
        <v>9.5230880488675034</v>
      </c>
      <c r="BI232" s="23" t="s">
        <v>499</v>
      </c>
      <c r="BJ232" s="22">
        <f>BH233*$B$201</f>
        <v>9.5460497238449307</v>
      </c>
      <c r="BM232" s="23" t="s">
        <v>439</v>
      </c>
      <c r="BN232" s="22">
        <f>BL233*$B$201</f>
        <v>9.569066763060837</v>
      </c>
      <c r="BQ232" s="23" t="s">
        <v>375</v>
      </c>
      <c r="BR232" s="22">
        <f>BP233*$B$201</f>
        <v>9.5921393000071724</v>
      </c>
    </row>
    <row r="233" spans="5:71" x14ac:dyDescent="0.2">
      <c r="W233" s="23" t="s">
        <v>130</v>
      </c>
      <c r="X233" s="22">
        <f>V234*$B$201</f>
        <v>9.0155810946112638</v>
      </c>
      <c r="AA233" s="23" t="s">
        <v>152</v>
      </c>
      <c r="AB233" s="22">
        <f>Z234*$B$201</f>
        <v>9.037319089867097</v>
      </c>
      <c r="AE233" s="23" t="s">
        <v>178</v>
      </c>
      <c r="AF233" s="22">
        <f>AD234*$B$201</f>
        <v>9.0591094988756034</v>
      </c>
      <c r="AI233" s="23" t="s">
        <v>208</v>
      </c>
      <c r="AJ233" s="22">
        <f>AH234*$B$201</f>
        <v>9.0809524480146546</v>
      </c>
      <c r="AM233" s="23" t="s">
        <v>758</v>
      </c>
      <c r="AN233" s="22">
        <f>AL234*$B$201</f>
        <v>9.102848063966837</v>
      </c>
      <c r="AQ233" s="23" t="s">
        <v>720</v>
      </c>
      <c r="AR233" s="22">
        <f>AP234*$B$201</f>
        <v>9.1247964737201812</v>
      </c>
      <c r="AU233" s="23" t="s">
        <v>678</v>
      </c>
      <c r="AV233" s="22">
        <f>AT234*$B$201</f>
        <v>9.1467978045689176</v>
      </c>
      <c r="AY233" s="23" t="s">
        <v>632</v>
      </c>
      <c r="AZ233" s="22">
        <f>AX234*$B$201</f>
        <v>9.1688521841141934</v>
      </c>
      <c r="BC233" s="23" t="s">
        <v>582</v>
      </c>
      <c r="BD233" s="22">
        <f>BB234*$B$201</f>
        <v>9.1909597402648231</v>
      </c>
      <c r="BG233" s="23" t="s">
        <v>528</v>
      </c>
      <c r="BH233" s="22">
        <f>BF234*$B$201</f>
        <v>9.2131206012380336</v>
      </c>
      <c r="BK233" s="23" t="s">
        <v>470</v>
      </c>
      <c r="BL233" s="22">
        <f>BJ234*$B$201</f>
        <v>9.2353348955602037</v>
      </c>
      <c r="BO233" s="23" t="s">
        <v>408</v>
      </c>
      <c r="BP233" s="22">
        <f>BN234*$B$201</f>
        <v>9.2576027520676067</v>
      </c>
      <c r="BS233" s="35"/>
    </row>
    <row r="234" spans="5:71" x14ac:dyDescent="0.2">
      <c r="U234" s="23" t="s">
        <v>116</v>
      </c>
      <c r="V234" s="22">
        <f>T235*$B$201</f>
        <v>8.701152656623691</v>
      </c>
      <c r="Y234" s="23" t="s">
        <v>141</v>
      </c>
      <c r="Z234" s="22">
        <f>X235*$B$201</f>
        <v>8.7221325150693119</v>
      </c>
      <c r="AC234" s="23" t="s">
        <v>165</v>
      </c>
      <c r="AD234" s="22">
        <f>AB235*$B$201</f>
        <v>8.7431629592795712</v>
      </c>
      <c r="AG234" s="23" t="s">
        <v>193</v>
      </c>
      <c r="AH234" s="22">
        <f>AF235*$B$201</f>
        <v>8.7642441112247678</v>
      </c>
      <c r="AK234" s="23" t="s">
        <v>225</v>
      </c>
      <c r="AL234" s="22">
        <f>AJ235*$B$201</f>
        <v>8.7853760931692957</v>
      </c>
      <c r="AO234" s="23" t="s">
        <v>740</v>
      </c>
      <c r="AP234" s="22">
        <f>AN235*$B$201</f>
        <v>8.8065590276723338</v>
      </c>
      <c r="AS234" s="23" t="s">
        <v>700</v>
      </c>
      <c r="AT234" s="22">
        <f>AR235*$B$201</f>
        <v>8.8277930375885845</v>
      </c>
      <c r="AW234" s="23" t="s">
        <v>656</v>
      </c>
      <c r="AX234" s="22">
        <f>AV235*$B$201</f>
        <v>8.849078246068963</v>
      </c>
      <c r="BA234" s="23" t="s">
        <v>608</v>
      </c>
      <c r="BB234" s="22">
        <f>AZ235*$B$201</f>
        <v>8.8704147765613222</v>
      </c>
      <c r="BE234" s="23" t="s">
        <v>556</v>
      </c>
      <c r="BF234" s="22">
        <f>BD235*$B$201</f>
        <v>8.8918027528111701</v>
      </c>
      <c r="BI234" s="23" t="s">
        <v>500</v>
      </c>
      <c r="BJ234" s="22">
        <f>BH235*$B$201</f>
        <v>8.9132422988623841</v>
      </c>
      <c r="BM234" s="23" t="s">
        <v>440</v>
      </c>
      <c r="BN234" s="22">
        <f>BL235*$B$201</f>
        <v>8.9347335390579286</v>
      </c>
      <c r="BQ234" s="23" t="s">
        <v>376</v>
      </c>
      <c r="BR234" s="22">
        <f>BP235*$B$201</f>
        <v>8.9562765980405903</v>
      </c>
    </row>
    <row r="235" spans="5:71" x14ac:dyDescent="0.2">
      <c r="S235" s="23" t="s">
        <v>108</v>
      </c>
      <c r="T235" s="22">
        <f>R236*$B$201</f>
        <v>8.3976902608221735</v>
      </c>
      <c r="W235" s="23" t="s">
        <v>131</v>
      </c>
      <c r="X235" s="22">
        <f>V236*$B$201</f>
        <v>8.4179384233237347</v>
      </c>
      <c r="AA235" s="23" t="s">
        <v>153</v>
      </c>
      <c r="AB235" s="22">
        <f>Z236*$B$201</f>
        <v>8.4382354073550196</v>
      </c>
      <c r="AE235" s="23" t="s">
        <v>179</v>
      </c>
      <c r="AF235" s="22">
        <f>AD236*$B$201</f>
        <v>8.4585813306324749</v>
      </c>
      <c r="AI235" s="23" t="s">
        <v>209</v>
      </c>
      <c r="AJ235" s="22">
        <f>AH236*$B$201</f>
        <v>8.4789763111563872</v>
      </c>
      <c r="AM235" s="23" t="s">
        <v>759</v>
      </c>
      <c r="AN235" s="22">
        <f>AL236*$B$201</f>
        <v>8.4994204672115483</v>
      </c>
      <c r="AQ235" s="23" t="s">
        <v>721</v>
      </c>
      <c r="AR235" s="22">
        <f>AP236*$B$201</f>
        <v>8.5199139173679672</v>
      </c>
      <c r="AU235" s="23" t="s">
        <v>679</v>
      </c>
      <c r="AV235" s="22">
        <f>AT236*$B$201</f>
        <v>8.5404567804815308</v>
      </c>
      <c r="AY235" s="23" t="s">
        <v>633</v>
      </c>
      <c r="AZ235" s="22">
        <f>AX236*$B$201</f>
        <v>8.5610491756947127</v>
      </c>
      <c r="BC235" s="23" t="s">
        <v>583</v>
      </c>
      <c r="BD235" s="22">
        <f>BB236*$B$201</f>
        <v>8.5816912224372572</v>
      </c>
      <c r="BG235" s="23" t="s">
        <v>529</v>
      </c>
      <c r="BH235" s="22">
        <f>BF236*$B$201</f>
        <v>8.602383040426874</v>
      </c>
      <c r="BK235" s="23" t="s">
        <v>471</v>
      </c>
      <c r="BL235" s="22">
        <f>BJ236*$B$201</f>
        <v>8.6231247496699268</v>
      </c>
      <c r="BO235" s="23" t="s">
        <v>409</v>
      </c>
      <c r="BP235" s="22">
        <f>BN236*$B$201</f>
        <v>8.6439164704621483</v>
      </c>
      <c r="BS235" s="35"/>
    </row>
    <row r="236" spans="5:71" x14ac:dyDescent="0.2">
      <c r="Q236" s="23" t="s">
        <v>101</v>
      </c>
      <c r="R236" s="22">
        <f>P237*$B$201</f>
        <v>8.1048114542644889</v>
      </c>
      <c r="U236" s="23" t="s">
        <v>117</v>
      </c>
      <c r="V236" s="22">
        <f>T237*$B$201</f>
        <v>8.1243534395334702</v>
      </c>
      <c r="Y236" s="23" t="s">
        <v>142</v>
      </c>
      <c r="Z236" s="22">
        <f>X237*$B$201</f>
        <v>8.1439425436269186</v>
      </c>
      <c r="AC236" s="23" t="s">
        <v>166</v>
      </c>
      <c r="AD236" s="22">
        <f>AB237*$B$201</f>
        <v>8.1635788801557876</v>
      </c>
      <c r="AG236" s="23" t="s">
        <v>194</v>
      </c>
      <c r="AH236" s="22">
        <f>AF237*$B$201</f>
        <v>8.1832625630049716</v>
      </c>
      <c r="AK236" s="23" t="s">
        <v>226</v>
      </c>
      <c r="AL236" s="22">
        <f>AJ237*$B$201</f>
        <v>8.2029937063339489</v>
      </c>
      <c r="AO236" s="23" t="s">
        <v>741</v>
      </c>
      <c r="AP236" s="22">
        <f>AN237*$B$201</f>
        <v>8.2227724245774674</v>
      </c>
      <c r="AS236" s="23" t="s">
        <v>701</v>
      </c>
      <c r="AT236" s="22">
        <f>AR237*$B$201</f>
        <v>8.2425988324461823</v>
      </c>
      <c r="AW236" s="23" t="s">
        <v>657</v>
      </c>
      <c r="AX236" s="22">
        <f>AV237*$B$201</f>
        <v>8.2624730449273418</v>
      </c>
      <c r="BA236" s="23" t="s">
        <v>609</v>
      </c>
      <c r="BB236" s="22">
        <f>AZ237*$B$201</f>
        <v>8.2823951772854425</v>
      </c>
      <c r="BE236" s="23" t="s">
        <v>557</v>
      </c>
      <c r="BF236" s="22">
        <f>BD237*$B$201</f>
        <v>8.302365345062908</v>
      </c>
      <c r="BI236" s="23" t="s">
        <v>501</v>
      </c>
      <c r="BJ236" s="22">
        <f>BH237*$B$201</f>
        <v>8.3223836640807445</v>
      </c>
      <c r="BM236" s="23" t="s">
        <v>441</v>
      </c>
      <c r="BN236" s="22">
        <f>BL237*$B$201</f>
        <v>8.3424502504392386</v>
      </c>
      <c r="BQ236" s="23" t="s">
        <v>377</v>
      </c>
      <c r="BR236" s="22">
        <f>BP237*$B$201</f>
        <v>8.3625652205185883</v>
      </c>
    </row>
    <row r="237" spans="5:71" x14ac:dyDescent="0.2">
      <c r="O237" s="23" t="s">
        <v>95</v>
      </c>
      <c r="P237" s="22">
        <f>N238*$B$201</f>
        <v>7.8221471224809971</v>
      </c>
      <c r="S237" s="23" t="s">
        <v>109</v>
      </c>
      <c r="T237" s="22">
        <f>R238*$B$201</f>
        <v>7.8410075592353765</v>
      </c>
      <c r="W237" s="23" t="s">
        <v>132</v>
      </c>
      <c r="X237" s="22">
        <f>V238*$B$201</f>
        <v>7.8599134714927095</v>
      </c>
      <c r="AA237" s="23" t="s">
        <v>154</v>
      </c>
      <c r="AB237" s="22">
        <f>Z238*$B$201</f>
        <v>7.8788649689016399</v>
      </c>
      <c r="AE237" s="23" t="s">
        <v>180</v>
      </c>
      <c r="AF237" s="22">
        <f>AD238*$B$201</f>
        <v>7.8978621613751994</v>
      </c>
      <c r="AI237" s="23" t="s">
        <v>210</v>
      </c>
      <c r="AJ237" s="22">
        <f>AH238*$B$201</f>
        <v>7.9169051590914279</v>
      </c>
      <c r="AM237" s="23" t="s">
        <v>760</v>
      </c>
      <c r="AN237" s="22">
        <f>AL238*$B$201</f>
        <v>7.935994072494033</v>
      </c>
      <c r="AQ237" s="23" t="s">
        <v>722</v>
      </c>
      <c r="AR237" s="22">
        <f>AP238*$B$201</f>
        <v>7.9551290122930087</v>
      </c>
      <c r="AU237" s="23" t="s">
        <v>680</v>
      </c>
      <c r="AV237" s="22">
        <f>AT238*$B$201</f>
        <v>7.9743100894652956</v>
      </c>
      <c r="AY237" s="23" t="s">
        <v>634</v>
      </c>
      <c r="AZ237" s="22">
        <f>AX238*$B$201</f>
        <v>7.9935374152554113</v>
      </c>
      <c r="BC237" s="23" t="s">
        <v>584</v>
      </c>
      <c r="BD237" s="22">
        <f>BB238*$B$201</f>
        <v>8.0128111011761085</v>
      </c>
      <c r="BG237" s="23" t="s">
        <v>530</v>
      </c>
      <c r="BH237" s="22">
        <f>BF238*$B$201</f>
        <v>8.0321312590090077</v>
      </c>
      <c r="BK237" s="23" t="s">
        <v>472</v>
      </c>
      <c r="BL237" s="22">
        <f>BJ238*$B$201</f>
        <v>8.0514980008052675</v>
      </c>
      <c r="BO237" s="23" t="s">
        <v>410</v>
      </c>
      <c r="BP237" s="22">
        <f>BN238*$B$201</f>
        <v>8.0709114388861973</v>
      </c>
      <c r="BS237" s="35"/>
    </row>
    <row r="238" spans="5:71" x14ac:dyDescent="0.2">
      <c r="M238" s="23" t="s">
        <v>82</v>
      </c>
      <c r="N238" s="22">
        <f>L239*$B$201</f>
        <v>7.5493410242805421</v>
      </c>
      <c r="Q238" s="23" t="s">
        <v>102</v>
      </c>
      <c r="R238" s="22">
        <f>P239*$B$201</f>
        <v>7.5675436822843105</v>
      </c>
      <c r="U238" s="23" t="s">
        <v>118</v>
      </c>
      <c r="V238" s="22">
        <f>T239*$B$201</f>
        <v>7.5857902297821873</v>
      </c>
      <c r="Y238" s="23" t="s">
        <v>143</v>
      </c>
      <c r="Z238" s="22">
        <f>X239*$B$201</f>
        <v>7.6040807725986985</v>
      </c>
      <c r="AC238" s="23" t="s">
        <v>167</v>
      </c>
      <c r="AD238" s="22">
        <f>AB239*$B$201</f>
        <v>7.622415416813535</v>
      </c>
      <c r="AG238" s="23" t="s">
        <v>195</v>
      </c>
      <c r="AH238" s="22">
        <f>AF239*$B$201</f>
        <v>7.6407942687621553</v>
      </c>
      <c r="AK238" s="23" t="s">
        <v>227</v>
      </c>
      <c r="AL238" s="22">
        <f>AJ239*$B$201</f>
        <v>7.6592174350364193</v>
      </c>
      <c r="AO238" s="23" t="s">
        <v>742</v>
      </c>
      <c r="AP238" s="22">
        <f>AN239*$B$201</f>
        <v>7.6776850224851874</v>
      </c>
      <c r="AS238" s="23" t="s">
        <v>702</v>
      </c>
      <c r="AT238" s="22">
        <f>AR239*$B$201</f>
        <v>7.6961971382149548</v>
      </c>
      <c r="AW238" s="23" t="s">
        <v>658</v>
      </c>
      <c r="AX238" s="22">
        <f>AV239*$B$201</f>
        <v>7.7147538895904635</v>
      </c>
      <c r="BA238" s="23" t="s">
        <v>610</v>
      </c>
      <c r="BB238" s="22">
        <f>AZ239*$B$201</f>
        <v>7.7333553842353338</v>
      </c>
      <c r="BE238" s="23" t="s">
        <v>558</v>
      </c>
      <c r="BF238" s="22">
        <f>BD239*$B$201</f>
        <v>7.7520017300326778</v>
      </c>
      <c r="BI238" s="23" t="s">
        <v>502</v>
      </c>
      <c r="BJ238" s="22">
        <f>BH239*$B$201</f>
        <v>7.7706930351257455</v>
      </c>
      <c r="BM238" s="23" t="s">
        <v>442</v>
      </c>
      <c r="BN238" s="22">
        <f>BL239*$B$201</f>
        <v>7.7894294079185151</v>
      </c>
      <c r="BQ238" s="23" t="s">
        <v>378</v>
      </c>
      <c r="BR238" s="22">
        <f>BP239*$B$201</f>
        <v>7.8082109570763576</v>
      </c>
    </row>
    <row r="239" spans="5:71" x14ac:dyDescent="0.2">
      <c r="K239" s="15" t="s">
        <v>78</v>
      </c>
      <c r="L239" s="22">
        <f>J240*$B$201</f>
        <v>7.2860493427805171</v>
      </c>
      <c r="O239" s="23" t="s">
        <v>96</v>
      </c>
      <c r="P239" s="22">
        <f>N240*$B$201</f>
        <v>7.3036171628006565</v>
      </c>
      <c r="S239" s="23" t="s">
        <v>110</v>
      </c>
      <c r="T239" s="22">
        <f>R240*$B$201</f>
        <v>7.3212273416198848</v>
      </c>
      <c r="W239" s="23" t="s">
        <v>133</v>
      </c>
      <c r="X239" s="22">
        <f>V240*$B$201</f>
        <v>7.3388799813719805</v>
      </c>
      <c r="AA239" s="23" t="s">
        <v>155</v>
      </c>
      <c r="AB239" s="22">
        <f>Z240*$B$201</f>
        <v>7.3565751844369869</v>
      </c>
      <c r="AE239" s="23" t="s">
        <v>181</v>
      </c>
      <c r="AF239" s="22">
        <f>AD240*$B$201</f>
        <v>7.374313053441794</v>
      </c>
      <c r="AI239" s="23" t="s">
        <v>211</v>
      </c>
      <c r="AJ239" s="22">
        <f>AH240*$B$201</f>
        <v>7.3920936912607527</v>
      </c>
      <c r="AM239" s="23" t="s">
        <v>761</v>
      </c>
      <c r="AN239" s="22">
        <f>AL240*$B$201</f>
        <v>7.4099172010162491</v>
      </c>
      <c r="AQ239" s="23" t="s">
        <v>723</v>
      </c>
      <c r="AR239" s="22">
        <f>AP240*$B$201</f>
        <v>7.427783686079322</v>
      </c>
      <c r="AU239" s="23" t="s">
        <v>681</v>
      </c>
      <c r="AV239" s="22">
        <f>AT240*$B$201</f>
        <v>7.4456932500702466</v>
      </c>
      <c r="AY239" s="23" t="s">
        <v>635</v>
      </c>
      <c r="AZ239" s="22">
        <f>AX240*$B$201</f>
        <v>7.4636459968591504</v>
      </c>
      <c r="BC239" s="23" t="s">
        <v>585</v>
      </c>
      <c r="BD239" s="22">
        <f>BB240*$B$201</f>
        <v>7.4816420305666016</v>
      </c>
      <c r="BG239" s="23" t="s">
        <v>531</v>
      </c>
      <c r="BH239" s="22">
        <f>BF240*$B$201</f>
        <v>7.4996814555642342</v>
      </c>
      <c r="BK239" s="23" t="s">
        <v>473</v>
      </c>
      <c r="BL239" s="22">
        <f>BJ240*$B$201</f>
        <v>7.5177643764753155</v>
      </c>
      <c r="BO239" s="23" t="s">
        <v>411</v>
      </c>
      <c r="BP239" s="22">
        <f>BN240*$B$201</f>
        <v>7.535890898175392</v>
      </c>
      <c r="BS239" s="35"/>
    </row>
    <row r="240" spans="5:71" x14ac:dyDescent="0.2">
      <c r="E240" s="14"/>
      <c r="G240" s="14"/>
      <c r="I240" s="15" t="s">
        <v>51</v>
      </c>
      <c r="J240" s="22">
        <f>H241*$B$201</f>
        <v>7.0319402520952599</v>
      </c>
      <c r="M240" s="23" t="s">
        <v>83</v>
      </c>
      <c r="N240" s="22">
        <f>L241*$B$201</f>
        <v>7.048895374813938</v>
      </c>
      <c r="Q240" s="23" t="s">
        <v>103</v>
      </c>
      <c r="R240" s="22">
        <f>P241*$B$201</f>
        <v>7.0658913790213793</v>
      </c>
      <c r="U240" s="23" t="s">
        <v>119</v>
      </c>
      <c r="V240" s="22">
        <f>T241*$B$201</f>
        <v>7.0829283632893354</v>
      </c>
      <c r="Y240" s="23" t="s">
        <v>144</v>
      </c>
      <c r="Z240" s="22">
        <f>X241*$B$201</f>
        <v>7.1000064264272291</v>
      </c>
      <c r="AC240" s="23" t="s">
        <v>168</v>
      </c>
      <c r="AD240" s="22">
        <f>AB241*$B$201</f>
        <v>7.1171256674827248</v>
      </c>
      <c r="AG240" s="23" t="s">
        <v>196</v>
      </c>
      <c r="AH240" s="22">
        <f>AF241*$B$201</f>
        <v>7.1342861857423152</v>
      </c>
      <c r="AK240" s="23" t="s">
        <v>228</v>
      </c>
      <c r="AL240" s="22">
        <f>AJ241*$B$201</f>
        <v>7.1514880807318786</v>
      </c>
      <c r="AO240" s="23" t="s">
        <v>743</v>
      </c>
      <c r="AP240" s="22">
        <f>AN241*$B$201</f>
        <v>7.1687314522172736</v>
      </c>
      <c r="AS240" s="23" t="s">
        <v>703</v>
      </c>
      <c r="AT240" s="22">
        <f>AR241*$B$201</f>
        <v>7.1860164002049025</v>
      </c>
      <c r="AW240" s="23" t="s">
        <v>659</v>
      </c>
      <c r="AX240" s="22">
        <f>AV241*$B$201</f>
        <v>7.2033430249423063</v>
      </c>
      <c r="BA240" s="23" t="s">
        <v>611</v>
      </c>
      <c r="BB240" s="22">
        <f>AZ241*$B$201</f>
        <v>7.2207114269187329</v>
      </c>
      <c r="BE240" s="23" t="s">
        <v>559</v>
      </c>
      <c r="BF240" s="22">
        <f>BD241*$B$201</f>
        <v>7.2381217068657389</v>
      </c>
      <c r="BI240" s="23" t="s">
        <v>503</v>
      </c>
      <c r="BJ240" s="22">
        <f>BH241*$B$201</f>
        <v>7.2555739657577378</v>
      </c>
      <c r="BM240" s="23" t="s">
        <v>443</v>
      </c>
      <c r="BN240" s="22">
        <f>BL241*$B$201</f>
        <v>7.2730683048126261</v>
      </c>
      <c r="BQ240" s="23" t="s">
        <v>379</v>
      </c>
      <c r="BR240" s="22">
        <f>BP241*$B$201</f>
        <v>7.290604825492343</v>
      </c>
    </row>
    <row r="241" spans="5:71" x14ac:dyDescent="0.2">
      <c r="E241" s="14"/>
      <c r="G241" s="15" t="s">
        <v>49</v>
      </c>
      <c r="H241" s="22">
        <f>F242*$B$201</f>
        <v>6.7866934991366712</v>
      </c>
      <c r="I241" s="19" t="s">
        <v>56</v>
      </c>
      <c r="J241" s="20">
        <f>H242*H242</f>
        <v>0.27659949619834717</v>
      </c>
      <c r="K241" s="15" t="s">
        <v>79</v>
      </c>
      <c r="L241" s="22">
        <f>J242*$B$201</f>
        <v>6.8030572930550894</v>
      </c>
      <c r="O241" s="23" t="s">
        <v>97</v>
      </c>
      <c r="P241" s="22">
        <f>N242*$B$201</f>
        <v>6.8194605426747898</v>
      </c>
      <c r="S241" s="23" t="s">
        <v>111</v>
      </c>
      <c r="T241" s="22">
        <f>R242*$B$201</f>
        <v>6.8359033431297256</v>
      </c>
      <c r="W241" s="23" t="s">
        <v>134</v>
      </c>
      <c r="X241" s="22">
        <f>V242*$B$201</f>
        <v>6.8523857897832299</v>
      </c>
      <c r="AA241" s="23" t="s">
        <v>156</v>
      </c>
      <c r="AB241" s="22">
        <f>Z242*$B$201</f>
        <v>6.8689079782285694</v>
      </c>
      <c r="AE241" s="23" t="s">
        <v>182</v>
      </c>
      <c r="AF241" s="22">
        <f>AD242*$B$201</f>
        <v>6.8854700042895098</v>
      </c>
      <c r="AI241" s="23" t="s">
        <v>212</v>
      </c>
      <c r="AJ241" s="22">
        <f>AH242*$B$201</f>
        <v>6.9020719640208537</v>
      </c>
      <c r="AM241" s="23" t="s">
        <v>762</v>
      </c>
      <c r="AN241" s="22">
        <f>AL242*$B$201</f>
        <v>6.9187139537090143</v>
      </c>
      <c r="AQ241" s="23" t="s">
        <v>724</v>
      </c>
      <c r="AR241" s="22">
        <f>AP242*$B$201</f>
        <v>6.9353960698725583</v>
      </c>
      <c r="AU241" s="23" t="s">
        <v>682</v>
      </c>
      <c r="AV241" s="22">
        <f>AT242*$B$201</f>
        <v>6.9521184092627832</v>
      </c>
      <c r="AY241" s="23" t="s">
        <v>636</v>
      </c>
      <c r="AZ241" s="22">
        <f>AX242*$B$201</f>
        <v>6.9688810688642615</v>
      </c>
      <c r="BC241" s="23" t="s">
        <v>586</v>
      </c>
      <c r="BD241" s="22">
        <f>BB242*$B$201</f>
        <v>6.9856841458954246</v>
      </c>
      <c r="BG241" s="23" t="s">
        <v>532</v>
      </c>
      <c r="BH241" s="22">
        <f>BF242*$B$201</f>
        <v>7.0025277378090918</v>
      </c>
      <c r="BK241" s="23" t="s">
        <v>474</v>
      </c>
      <c r="BL241" s="22">
        <f>BJ242*$B$201</f>
        <v>7.019411942293071</v>
      </c>
      <c r="BO241" s="23" t="s">
        <v>412</v>
      </c>
      <c r="BP241" s="22">
        <f>BN242*$B$201</f>
        <v>7.0363368572707046</v>
      </c>
      <c r="BS241" s="35"/>
    </row>
    <row r="242" spans="5:71" x14ac:dyDescent="0.2">
      <c r="E242" s="15" t="s">
        <v>48</v>
      </c>
      <c r="F242" s="22">
        <f>$B$2</f>
        <v>6.55</v>
      </c>
      <c r="G242" s="17" t="s">
        <v>55</v>
      </c>
      <c r="H242" s="16">
        <f>$H$19</f>
        <v>0.5259272727272728</v>
      </c>
      <c r="I242" s="15" t="s">
        <v>52</v>
      </c>
      <c r="J242" s="22">
        <f>H243*$B$201</f>
        <v>6.5657930883690669</v>
      </c>
      <c r="M242" s="23" t="s">
        <v>84</v>
      </c>
      <c r="N242" s="22">
        <f>L243*$B$201</f>
        <v>6.5816242563778635</v>
      </c>
      <c r="Q242" s="23" t="s">
        <v>104</v>
      </c>
      <c r="R242" s="22">
        <f>P243*$B$201</f>
        <v>6.5974935958424394</v>
      </c>
      <c r="U242" s="23" t="s">
        <v>120</v>
      </c>
      <c r="V242" s="22">
        <f>T243*$B$201</f>
        <v>6.6134011988002248</v>
      </c>
      <c r="Y242" s="23" t="s">
        <v>145</v>
      </c>
      <c r="Z242" s="22">
        <f>X243*$B$201</f>
        <v>6.6293471575105665</v>
      </c>
      <c r="AC242" s="23" t="s">
        <v>169</v>
      </c>
      <c r="AD242" s="22">
        <f>AB243*$B$201</f>
        <v>6.645331564455268</v>
      </c>
      <c r="AG242" s="23" t="s">
        <v>197</v>
      </c>
      <c r="AH242" s="22">
        <f>AF243*$B$201</f>
        <v>6.6613545123391136</v>
      </c>
      <c r="AK242" s="23" t="s">
        <v>229</v>
      </c>
      <c r="AL242" s="22">
        <f>AJ243*$B$201</f>
        <v>6.6774160940904208</v>
      </c>
      <c r="AO242" s="23" t="s">
        <v>744</v>
      </c>
      <c r="AP242" s="22">
        <f>AN243*$B$201</f>
        <v>6.6935164028615644</v>
      </c>
      <c r="AS242" s="23" t="s">
        <v>704</v>
      </c>
      <c r="AT242" s="22">
        <f>AR243*$B$201</f>
        <v>6.7096555320295321</v>
      </c>
      <c r="AW242" s="23" t="s">
        <v>660</v>
      </c>
      <c r="AX242" s="22">
        <f>AV243*$B$201</f>
        <v>6.725833575196452</v>
      </c>
      <c r="BA242" s="23" t="s">
        <v>612</v>
      </c>
      <c r="BB242" s="22">
        <f>AZ243*$B$201</f>
        <v>6.7420506261901529</v>
      </c>
      <c r="BE242" s="23" t="s">
        <v>560</v>
      </c>
      <c r="BF242" s="22">
        <f>BD243*$B$201</f>
        <v>6.7583067790646787</v>
      </c>
      <c r="BI242" s="23" t="s">
        <v>504</v>
      </c>
      <c r="BJ242" s="22">
        <f>BH243*$B$201</f>
        <v>6.7746021281008675</v>
      </c>
      <c r="BM242" s="23" t="s">
        <v>444</v>
      </c>
      <c r="BN242" s="22">
        <f>BL243*$B$201</f>
        <v>6.7909367678068753</v>
      </c>
      <c r="BQ242" s="23" t="s">
        <v>380</v>
      </c>
      <c r="BR242" s="22">
        <f>BP243*$B$201</f>
        <v>6.8073107929187433</v>
      </c>
    </row>
    <row r="243" spans="5:71" x14ac:dyDescent="0.2">
      <c r="E243" s="14"/>
      <c r="G243" s="15" t="s">
        <v>50</v>
      </c>
      <c r="H243" s="22">
        <f>F242*$B$202</f>
        <v>6.3368037372378954</v>
      </c>
      <c r="I243" s="19" t="s">
        <v>58</v>
      </c>
      <c r="J243" s="20">
        <f>2*H242*(1-H242)</f>
        <v>0.49865555305785125</v>
      </c>
      <c r="K243" s="15" t="s">
        <v>80</v>
      </c>
      <c r="L243" s="22">
        <f>J244*$B$201</f>
        <v>6.3520827756195182</v>
      </c>
      <c r="O243" s="23" t="s">
        <v>98</v>
      </c>
      <c r="P243" s="22">
        <f>N244*$B$201</f>
        <v>6.3673986541848597</v>
      </c>
      <c r="S243" s="23" t="s">
        <v>112</v>
      </c>
      <c r="T243" s="22">
        <f>R244*$B$201</f>
        <v>6.3827514617614431</v>
      </c>
      <c r="W243" s="23" t="s">
        <v>135</v>
      </c>
      <c r="X243" s="22">
        <f>V244*$B$201</f>
        <v>6.3981412873909678</v>
      </c>
      <c r="AA243" s="23" t="s">
        <v>157</v>
      </c>
      <c r="AB243" s="22">
        <f>Z244*$B$201</f>
        <v>6.4135682203298296</v>
      </c>
      <c r="AE243" s="23" t="s">
        <v>183</v>
      </c>
      <c r="AF243" s="22">
        <f>AD244*$B$201</f>
        <v>6.4290323500496322</v>
      </c>
      <c r="AI243" s="23" t="s">
        <v>213</v>
      </c>
      <c r="AJ243" s="22">
        <f>AH244*$B$201</f>
        <v>6.4445337662377131</v>
      </c>
      <c r="AM243" s="23" t="s">
        <v>763</v>
      </c>
      <c r="AN243" s="22">
        <f>AL244*$B$201</f>
        <v>6.4600725587976555</v>
      </c>
      <c r="AQ243" s="23" t="s">
        <v>725</v>
      </c>
      <c r="AR243" s="22">
        <f>AP244*$B$201</f>
        <v>6.4756488178498186</v>
      </c>
      <c r="AU243" s="23" t="s">
        <v>683</v>
      </c>
      <c r="AV243" s="22">
        <f>AT244*$B$201</f>
        <v>6.4912626337318544</v>
      </c>
      <c r="AY243" s="23" t="s">
        <v>637</v>
      </c>
      <c r="AZ243" s="22">
        <f>AX244*$B$201</f>
        <v>6.5069140969992398</v>
      </c>
      <c r="BC243" s="23" t="s">
        <v>587</v>
      </c>
      <c r="BD243" s="22">
        <f>BB244*$B$201</f>
        <v>6.5226032984257794</v>
      </c>
      <c r="BG243" s="23" t="s">
        <v>533</v>
      </c>
      <c r="BH243" s="22">
        <f>BF244*$B$201</f>
        <v>6.5383303290041628</v>
      </c>
      <c r="BK243" s="23" t="s">
        <v>475</v>
      </c>
      <c r="BL243" s="22">
        <f>BJ244*$B$201</f>
        <v>6.554095279946468</v>
      </c>
      <c r="BO243" s="23" t="s">
        <v>413</v>
      </c>
      <c r="BP243" s="22">
        <f>BN244*$B$201</f>
        <v>6.5698982426847108</v>
      </c>
      <c r="BS243" s="35"/>
    </row>
    <row r="244" spans="5:71" x14ac:dyDescent="0.2">
      <c r="E244" s="14"/>
      <c r="G244" s="18" t="s">
        <v>41</v>
      </c>
      <c r="H244" s="16">
        <f>$H$20</f>
        <v>0.4740727272727272</v>
      </c>
      <c r="I244" s="15" t="s">
        <v>53</v>
      </c>
      <c r="J244" s="22">
        <f>H243*$B$202</f>
        <v>6.1305468098125431</v>
      </c>
      <c r="M244" s="23" t="s">
        <v>85</v>
      </c>
      <c r="N244" s="22">
        <f>L245*$B$201</f>
        <v>6.1453285300443099</v>
      </c>
      <c r="Q244" s="23" t="s">
        <v>105</v>
      </c>
      <c r="R244" s="22">
        <f>P245*$B$201</f>
        <v>6.1601458913468958</v>
      </c>
      <c r="U244" s="23" t="s">
        <v>121</v>
      </c>
      <c r="V244" s="22">
        <f>T245*$B$201</f>
        <v>6.1749989796565723</v>
      </c>
      <c r="Y244" s="23" t="s">
        <v>146</v>
      </c>
      <c r="Z244" s="22">
        <f>X245*$B$201</f>
        <v>6.1898878811168201</v>
      </c>
      <c r="AC244" s="23" t="s">
        <v>170</v>
      </c>
      <c r="AD244" s="22">
        <f>AB245*$B$201</f>
        <v>6.2048126820788188</v>
      </c>
      <c r="AG244" s="23" t="s">
        <v>198</v>
      </c>
      <c r="AH244" s="22">
        <f>AF245*$B$201</f>
        <v>6.2197734691019608</v>
      </c>
      <c r="AK244" s="23" t="s">
        <v>230</v>
      </c>
      <c r="AL244" s="22">
        <f>AJ245*$B$201</f>
        <v>6.234770328954343</v>
      </c>
      <c r="AO244" s="23" t="s">
        <v>745</v>
      </c>
      <c r="AP244" s="22">
        <f>AN245*$B$201</f>
        <v>6.2498033486132751</v>
      </c>
      <c r="AS244" s="23" t="s">
        <v>705</v>
      </c>
      <c r="AT244" s="22">
        <f>AR245*$B$201</f>
        <v>6.2648726152657837</v>
      </c>
      <c r="AW244" s="23" t="s">
        <v>661</v>
      </c>
      <c r="AX244" s="22">
        <f>AV245*$B$201</f>
        <v>6.2799782163091216</v>
      </c>
      <c r="BA244" s="23" t="s">
        <v>613</v>
      </c>
      <c r="BB244" s="22">
        <f>AZ245*$B$201</f>
        <v>6.295120239351256</v>
      </c>
      <c r="BE244" s="23" t="s">
        <v>561</v>
      </c>
      <c r="BF244" s="22">
        <f>BD245*$B$201</f>
        <v>6.3102987722114063</v>
      </c>
      <c r="BI244" s="23" t="s">
        <v>505</v>
      </c>
      <c r="BJ244" s="22">
        <f>BH245*$B$201</f>
        <v>6.3255139029205258</v>
      </c>
      <c r="BM244" s="23" t="s">
        <v>445</v>
      </c>
      <c r="BN244" s="22">
        <f>BL245*$B$201</f>
        <v>6.3407657197218379</v>
      </c>
      <c r="BQ244" s="23" t="s">
        <v>381</v>
      </c>
      <c r="BR244" s="22">
        <f>BP245*$B$201</f>
        <v>6.3560543110713201</v>
      </c>
    </row>
    <row r="245" spans="5:71" x14ac:dyDescent="0.2">
      <c r="I245" s="21" t="s">
        <v>57</v>
      </c>
      <c r="J245" s="20">
        <f>H244*H244</f>
        <v>0.22474495074380157</v>
      </c>
      <c r="K245" s="15" t="s">
        <v>81</v>
      </c>
      <c r="L245" s="22">
        <f>J244*$B$202</f>
        <v>5.9310033489667147</v>
      </c>
      <c r="O245" s="23" t="s">
        <v>100</v>
      </c>
      <c r="P245" s="22">
        <f>N246*$B$201</f>
        <v>5.9453039382808317</v>
      </c>
      <c r="S245" s="23" t="s">
        <v>113</v>
      </c>
      <c r="T245" s="22">
        <f>R246*$B$201</f>
        <v>5.959639008582851</v>
      </c>
      <c r="W245" s="23" t="s">
        <v>136</v>
      </c>
      <c r="X245" s="22">
        <f>V246*$B$201</f>
        <v>5.9740086430119037</v>
      </c>
      <c r="AA245" s="23" t="s">
        <v>158</v>
      </c>
      <c r="AB245" s="22">
        <f>Z246*$B$201</f>
        <v>5.9884129249075757</v>
      </c>
      <c r="AE245" s="23" t="s">
        <v>184</v>
      </c>
      <c r="AF245" s="22">
        <f>AD246*$B$201</f>
        <v>6.002851937810405</v>
      </c>
      <c r="AI245" s="23" t="s">
        <v>214</v>
      </c>
      <c r="AJ245" s="22">
        <f>AH246*$B$201</f>
        <v>6.0173257654623535</v>
      </c>
      <c r="AM245" s="23" t="s">
        <v>764</v>
      </c>
      <c r="AN245" s="22">
        <f>AL246*$B$201</f>
        <v>6.0318344918073006</v>
      </c>
      <c r="AQ245" s="23" t="s">
        <v>726</v>
      </c>
      <c r="AR245" s="22">
        <f>AP246*$B$201</f>
        <v>6.0463782009915281</v>
      </c>
      <c r="AU245" s="23" t="s">
        <v>684</v>
      </c>
      <c r="AV245" s="22">
        <f>AT246*$B$201</f>
        <v>6.0609569773642118</v>
      </c>
      <c r="AY245" s="23" t="s">
        <v>638</v>
      </c>
      <c r="AZ245" s="22">
        <f>AX246*$B$201</f>
        <v>6.0755709054778944</v>
      </c>
      <c r="BC245" s="23" t="s">
        <v>588</v>
      </c>
      <c r="BD245" s="22">
        <f>BB246*$B$201</f>
        <v>6.0902200700890017</v>
      </c>
      <c r="BG245" s="23" t="s">
        <v>534</v>
      </c>
      <c r="BH245" s="22">
        <f>BF246*$B$201</f>
        <v>6.10490455615831</v>
      </c>
      <c r="BK245" s="23" t="s">
        <v>476</v>
      </c>
      <c r="BL245" s="22">
        <f>BJ246*$B$201</f>
        <v>6.11962444885146</v>
      </c>
      <c r="BO245" s="23" t="s">
        <v>414</v>
      </c>
      <c r="BP245" s="22">
        <f>BN246*$B$201</f>
        <v>6.1343798335394304</v>
      </c>
      <c r="BS245" s="35"/>
    </row>
    <row r="246" spans="5:71" x14ac:dyDescent="0.2">
      <c r="M246" s="23" t="s">
        <v>86</v>
      </c>
      <c r="N246" s="22">
        <f>L245*$B$202</f>
        <v>5.7379548377561456</v>
      </c>
      <c r="Q246" s="23" t="s">
        <v>106</v>
      </c>
      <c r="R246" s="22">
        <f>P247*$B$201</f>
        <v>5.7517899565058244</v>
      </c>
      <c r="U246" s="23" t="s">
        <v>122</v>
      </c>
      <c r="V246" s="22">
        <f>T247*$B$201</f>
        <v>5.7656584339200858</v>
      </c>
      <c r="Y246" s="23" t="s">
        <v>147</v>
      </c>
      <c r="Z246" s="22">
        <f>X247*$B$201</f>
        <v>5.7795603504319564</v>
      </c>
      <c r="AC246" s="23" t="s">
        <v>171</v>
      </c>
      <c r="AD246" s="22">
        <f>AB247*$B$201</f>
        <v>5.7934957866684043</v>
      </c>
      <c r="AG246" s="23" t="s">
        <v>199</v>
      </c>
      <c r="AH246" s="22">
        <f>AF247*$B$201</f>
        <v>5.8074648234507968</v>
      </c>
      <c r="AK246" s="23" t="s">
        <v>231</v>
      </c>
      <c r="AL246" s="22">
        <f>AJ247*$B$201</f>
        <v>5.8214675417953767</v>
      </c>
      <c r="AO246" s="23" t="s">
        <v>746</v>
      </c>
      <c r="AP246" s="22">
        <f>AN247*$B$201</f>
        <v>5.8355040229137307</v>
      </c>
      <c r="AS246" s="23" t="s">
        <v>706</v>
      </c>
      <c r="AT246" s="22">
        <f>AR247*$B$201</f>
        <v>5.8495743482132641</v>
      </c>
      <c r="AW246" s="23" t="s">
        <v>662</v>
      </c>
      <c r="AX246" s="22">
        <f>AV247*$B$201</f>
        <v>5.8636785992976534</v>
      </c>
      <c r="BA246" s="23" t="s">
        <v>614</v>
      </c>
      <c r="BB246" s="22">
        <f>AZ247*$B$201</f>
        <v>5.8778168579673515</v>
      </c>
      <c r="BE246" s="23" t="s">
        <v>562</v>
      </c>
      <c r="BF246" s="22">
        <f>BD247*$B$201</f>
        <v>5.8919892062200327</v>
      </c>
      <c r="BI246" s="23" t="s">
        <v>506</v>
      </c>
      <c r="BJ246" s="22">
        <f>BH247*$B$201</f>
        <v>5.9061957262510898</v>
      </c>
      <c r="BM246" s="23" t="s">
        <v>446</v>
      </c>
      <c r="BN246" s="22">
        <f>BL247*$B$201</f>
        <v>5.9204365004540946</v>
      </c>
      <c r="BQ246" s="23" t="s">
        <v>382</v>
      </c>
      <c r="BR246" s="22">
        <f>BP247*$B$201</f>
        <v>5.9347116114212914</v>
      </c>
    </row>
    <row r="247" spans="5:71" x14ac:dyDescent="0.2">
      <c r="O247" s="23" t="s">
        <v>99</v>
      </c>
      <c r="P247" s="22">
        <f>N246*$B$202</f>
        <v>5.5511898717550237</v>
      </c>
      <c r="S247" s="23" t="s">
        <v>114</v>
      </c>
      <c r="T247" s="22">
        <f>R248*$B$201</f>
        <v>5.5645746705638937</v>
      </c>
      <c r="W247" s="23" t="s">
        <v>137</v>
      </c>
      <c r="X247" s="22">
        <f>V248*$B$201</f>
        <v>5.5779917422445786</v>
      </c>
      <c r="AA247" s="23" t="s">
        <v>159</v>
      </c>
      <c r="AB247" s="22">
        <f>Z248*$B$201</f>
        <v>5.5914411646120898</v>
      </c>
      <c r="AE247" s="23" t="s">
        <v>185</v>
      </c>
      <c r="AF247" s="22">
        <f>AD248*$B$201</f>
        <v>5.6049230156690601</v>
      </c>
      <c r="AI247" s="23" t="s">
        <v>215</v>
      </c>
      <c r="AJ247" s="22">
        <f>AH248*$B$201</f>
        <v>5.6184373736062012</v>
      </c>
      <c r="AM247" s="23" t="s">
        <v>765</v>
      </c>
      <c r="AN247" s="22">
        <f>AL248*$B$201</f>
        <v>5.6319843168027539</v>
      </c>
      <c r="AQ247" s="23" t="s">
        <v>727</v>
      </c>
      <c r="AR247" s="22">
        <f>AP248*$B$201</f>
        <v>5.6455639238269502</v>
      </c>
      <c r="AU247" s="23" t="s">
        <v>685</v>
      </c>
      <c r="AV247" s="22">
        <f>AT248*$B$201</f>
        <v>5.6591762734364472</v>
      </c>
      <c r="AY247" s="23" t="s">
        <v>639</v>
      </c>
      <c r="AZ247" s="22">
        <f>AX248*$B$201</f>
        <v>5.6728214445788163</v>
      </c>
      <c r="BC247" s="23" t="s">
        <v>589</v>
      </c>
      <c r="BD247" s="22">
        <f>BB248*$B$201</f>
        <v>5.6864995163919714</v>
      </c>
      <c r="BG247" s="23" t="s">
        <v>535</v>
      </c>
      <c r="BH247" s="22">
        <f>BF248*$B$201</f>
        <v>5.7002105682046489</v>
      </c>
      <c r="BK247" s="23" t="s">
        <v>477</v>
      </c>
      <c r="BL247" s="22">
        <f>BJ248*$B$201</f>
        <v>5.7139546795368528</v>
      </c>
      <c r="BO247" s="23" t="s">
        <v>415</v>
      </c>
      <c r="BP247" s="22">
        <f>BN248*$B$201</f>
        <v>5.7277319301003313</v>
      </c>
      <c r="BS247" s="35"/>
    </row>
    <row r="248" spans="5:71" x14ac:dyDescent="0.2">
      <c r="Q248" s="23" t="s">
        <v>107</v>
      </c>
      <c r="R248" s="22">
        <f>P247*$B$202</f>
        <v>5.3705039275502884</v>
      </c>
      <c r="U248" s="23" t="s">
        <v>123</v>
      </c>
      <c r="V248" s="22">
        <f>T249*$B$201</f>
        <v>5.3834530639036053</v>
      </c>
      <c r="Y248" s="23" t="s">
        <v>148</v>
      </c>
      <c r="Z248" s="22">
        <f>X249*$B$201</f>
        <v>5.3964334226774913</v>
      </c>
      <c r="AC248" s="23" t="s">
        <v>172</v>
      </c>
      <c r="AD248" s="22">
        <f>AB249*$B$201</f>
        <v>5.4094450791541524</v>
      </c>
      <c r="AG248" s="23" t="s">
        <v>200</v>
      </c>
      <c r="AH248" s="22">
        <f>AF249*$B$201</f>
        <v>5.422488108797312</v>
      </c>
      <c r="AK248" s="23" t="s">
        <v>232</v>
      </c>
      <c r="AL248" s="22">
        <f>AJ249*$B$201</f>
        <v>5.4355625872526465</v>
      </c>
      <c r="AO248" s="23" t="s">
        <v>747</v>
      </c>
      <c r="AP248" s="22">
        <f>AN249*$B$201</f>
        <v>5.448668590348233</v>
      </c>
      <c r="AS248" s="23" t="s">
        <v>707</v>
      </c>
      <c r="AT248" s="22">
        <f>AR249*$B$201</f>
        <v>5.4618061940949687</v>
      </c>
      <c r="AW248" s="23" t="s">
        <v>663</v>
      </c>
      <c r="AX248" s="22">
        <f>AV249*$B$201</f>
        <v>5.4749754746870405</v>
      </c>
      <c r="BA248" s="23" t="s">
        <v>615</v>
      </c>
      <c r="BB248" s="22">
        <f>AZ249*$B$201</f>
        <v>5.4881765085023382</v>
      </c>
      <c r="BE248" s="23" t="s">
        <v>563</v>
      </c>
      <c r="BF248" s="22">
        <f>BD249*$B$201</f>
        <v>5.5014093721029207</v>
      </c>
      <c r="BI248" s="23" t="s">
        <v>507</v>
      </c>
      <c r="BJ248" s="22">
        <f>BH249*$B$201</f>
        <v>5.5146741422354442</v>
      </c>
      <c r="BM248" s="23" t="s">
        <v>447</v>
      </c>
      <c r="BN248" s="22">
        <f>BL249*$B$201</f>
        <v>5.5279708958316194</v>
      </c>
      <c r="BQ248" s="23" t="s">
        <v>383</v>
      </c>
      <c r="BR248" s="22">
        <f>BP249*$B$201</f>
        <v>5.5412997100086407</v>
      </c>
    </row>
    <row r="249" spans="5:71" x14ac:dyDescent="0.2">
      <c r="S249" s="23" t="s">
        <v>115</v>
      </c>
      <c r="T249" s="22">
        <f>R248*$B$202</f>
        <v>5.1956991387712161</v>
      </c>
      <c r="W249" s="23" t="s">
        <v>138</v>
      </c>
      <c r="X249" s="22">
        <f>V250*$B$201</f>
        <v>5.2082267930670483</v>
      </c>
      <c r="AA249" s="23" t="s">
        <v>160</v>
      </c>
      <c r="AB249" s="22">
        <f>Z250*$B$201</f>
        <v>5.2207846535233911</v>
      </c>
      <c r="AE249" s="23" t="s">
        <v>186</v>
      </c>
      <c r="AF249" s="22">
        <f>AD250*$B$201</f>
        <v>5.2333727929720881</v>
      </c>
      <c r="AI249" s="23" t="s">
        <v>216</v>
      </c>
      <c r="AJ249" s="22">
        <f>AH250*$B$201</f>
        <v>5.2459912844205876</v>
      </c>
      <c r="AM249" s="23" t="s">
        <v>766</v>
      </c>
      <c r="AN249" s="22">
        <f>AL250*$B$201</f>
        <v>5.2586402010523772</v>
      </c>
      <c r="AQ249" s="23" t="s">
        <v>728</v>
      </c>
      <c r="AR249" s="22">
        <f>AP250*$B$201</f>
        <v>5.271319616227391</v>
      </c>
      <c r="AU249" s="23" t="s">
        <v>686</v>
      </c>
      <c r="AV249" s="22">
        <f>AT250*$B$201</f>
        <v>5.2840296034824572</v>
      </c>
      <c r="AY249" s="23" t="s">
        <v>640</v>
      </c>
      <c r="AZ249" s="22">
        <f>AX250*$B$201</f>
        <v>5.2967702365317031</v>
      </c>
      <c r="BC249" s="23" t="s">
        <v>590</v>
      </c>
      <c r="BD249" s="22">
        <f>BB250*$B$201</f>
        <v>5.309541589266999</v>
      </c>
      <c r="BG249" s="23" t="s">
        <v>536</v>
      </c>
      <c r="BH249" s="22">
        <f>BF250*$B$201</f>
        <v>5.3223437357583769</v>
      </c>
      <c r="BK249" s="23" t="s">
        <v>478</v>
      </c>
      <c r="BL249" s="22">
        <f>BJ250*$B$201</f>
        <v>5.335176750254468</v>
      </c>
      <c r="BO249" s="23" t="s">
        <v>416</v>
      </c>
      <c r="BP249" s="22">
        <f>BN250*$B$201</f>
        <v>5.3480407071829186</v>
      </c>
      <c r="BS249" s="35"/>
    </row>
    <row r="250" spans="5:71" x14ac:dyDescent="0.2">
      <c r="U250" s="23" t="s">
        <v>124</v>
      </c>
      <c r="V250" s="22">
        <f>T249*$B$202</f>
        <v>5.026584079409032</v>
      </c>
      <c r="Y250" s="23" t="s">
        <v>149</v>
      </c>
      <c r="Z250" s="22">
        <f>X251*$B$201</f>
        <v>5.0387039704869938</v>
      </c>
      <c r="AC250" s="23" t="s">
        <v>173</v>
      </c>
      <c r="AD250" s="22">
        <f>AB251*$B$201</f>
        <v>5.0508530845437063</v>
      </c>
      <c r="AG250" s="23" t="s">
        <v>201</v>
      </c>
      <c r="AH250" s="22">
        <f>AF251*$B$201</f>
        <v>5.0630314920404036</v>
      </c>
      <c r="AK250" s="23" t="s">
        <v>233</v>
      </c>
      <c r="AL250" s="22">
        <f>AJ251*$B$201</f>
        <v>5.0752392636082169</v>
      </c>
      <c r="AO250" s="23" t="s">
        <v>748</v>
      </c>
      <c r="AP250" s="22">
        <f>AN251*$B$201</f>
        <v>5.0874764700485704</v>
      </c>
      <c r="AS250" s="23" t="s">
        <v>708</v>
      </c>
      <c r="AT250" s="22">
        <f>AR251*$B$201</f>
        <v>5.0997431823336132</v>
      </c>
      <c r="AW250" s="23" t="s">
        <v>664</v>
      </c>
      <c r="AX250" s="22">
        <f>AV251*$B$201</f>
        <v>5.1120394716066118</v>
      </c>
      <c r="BA250" s="23" t="s">
        <v>616</v>
      </c>
      <c r="BB250" s="22">
        <f>AZ251*$B$201</f>
        <v>5.1243654091823734</v>
      </c>
      <c r="BE250" s="23" t="s">
        <v>564</v>
      </c>
      <c r="BF250" s="22">
        <f>BD251*$B$201</f>
        <v>5.1367210665476568</v>
      </c>
      <c r="BI250" s="23" t="s">
        <v>508</v>
      </c>
      <c r="BJ250" s="22">
        <f>BH251*$B$201</f>
        <v>5.1491065153615878</v>
      </c>
      <c r="BM250" s="23" t="s">
        <v>448</v>
      </c>
      <c r="BN250" s="22">
        <f>BL251*$B$201</f>
        <v>5.1615218274560668</v>
      </c>
      <c r="BQ250" s="23" t="s">
        <v>384</v>
      </c>
      <c r="BR250" s="22">
        <f>BP251*$B$201</f>
        <v>5.1739670748362006</v>
      </c>
    </row>
    <row r="251" spans="5:71" x14ac:dyDescent="0.2">
      <c r="W251" s="23" t="s">
        <v>139</v>
      </c>
      <c r="X251" s="22">
        <f>V250*$B$202</f>
        <v>4.8629735541892609</v>
      </c>
      <c r="AA251" s="23" t="s">
        <v>161</v>
      </c>
      <c r="AB251" s="22">
        <f>Z252*$B$201</f>
        <v>4.8746989543538017</v>
      </c>
      <c r="AE251" s="23" t="s">
        <v>187</v>
      </c>
      <c r="AF251" s="22">
        <f>AD252*$B$201</f>
        <v>4.886452626316963</v>
      </c>
      <c r="AI251" s="23" t="s">
        <v>217</v>
      </c>
      <c r="AJ251" s="22">
        <f>AH252*$B$201</f>
        <v>4.8982346382465343</v>
      </c>
      <c r="AM251" s="23" t="s">
        <v>767</v>
      </c>
      <c r="AN251" s="22">
        <f>AL252*$B$201</f>
        <v>4.9100450584746635</v>
      </c>
      <c r="AQ251" s="23" t="s">
        <v>729</v>
      </c>
      <c r="AR251" s="22">
        <f>AP252*$B$201</f>
        <v>4.9218839554982656</v>
      </c>
      <c r="AU251" s="23" t="s">
        <v>687</v>
      </c>
      <c r="AV251" s="22">
        <f>AT252*$B$201</f>
        <v>4.9337513979794076</v>
      </c>
      <c r="AY251" s="23" t="s">
        <v>641</v>
      </c>
      <c r="AZ251" s="22">
        <f>AX252*$B$201</f>
        <v>4.9456474547457114</v>
      </c>
      <c r="BC251" s="23" t="s">
        <v>591</v>
      </c>
      <c r="BD251" s="22">
        <f>BB252*$B$201</f>
        <v>4.9575721947907576</v>
      </c>
      <c r="BG251" s="23" t="s">
        <v>537</v>
      </c>
      <c r="BH251" s="22">
        <f>BF252*$B$201</f>
        <v>4.9695256872744782</v>
      </c>
      <c r="BK251" s="23" t="s">
        <v>479</v>
      </c>
      <c r="BL251" s="22">
        <f>BJ252*$B$201</f>
        <v>4.9815080015235571</v>
      </c>
      <c r="BO251" s="23" t="s">
        <v>417</v>
      </c>
      <c r="BP251" s="22">
        <f>BN252*$B$201</f>
        <v>4.9935192070318433</v>
      </c>
      <c r="BS251" s="35"/>
    </row>
    <row r="252" spans="5:71" x14ac:dyDescent="0.2">
      <c r="Y252" s="23" t="s">
        <v>150</v>
      </c>
      <c r="Z252" s="22">
        <f>X251*$B$202</f>
        <v>4.7046883957672607</v>
      </c>
      <c r="AC252" s="23" t="s">
        <v>174</v>
      </c>
      <c r="AD252" s="22">
        <f>AB253*$B$201</f>
        <v>4.7160321453219591</v>
      </c>
      <c r="AG252" s="23" t="s">
        <v>202</v>
      </c>
      <c r="AH252" s="22">
        <f>AF253*$B$201</f>
        <v>4.7274032464551556</v>
      </c>
      <c r="AK252" s="23" t="s">
        <v>234</v>
      </c>
      <c r="AL252" s="22">
        <f>AJ253*$B$201</f>
        <v>4.7388017651158387</v>
      </c>
      <c r="AO252" s="23" t="s">
        <v>749</v>
      </c>
      <c r="AP252" s="22">
        <f>AN253*$B$201</f>
        <v>4.7502277674120172</v>
      </c>
      <c r="AS252" s="23" t="s">
        <v>709</v>
      </c>
      <c r="AT252" s="22">
        <f>AR253*$B$201</f>
        <v>4.7616813196110916</v>
      </c>
      <c r="AW252" s="23" t="s">
        <v>665</v>
      </c>
      <c r="AX252" s="22">
        <f>AV253*$B$201</f>
        <v>4.7731624881402439</v>
      </c>
      <c r="BA252" s="23" t="s">
        <v>617</v>
      </c>
      <c r="BB252" s="22">
        <f>AZ253*$B$201</f>
        <v>4.7846713395868266</v>
      </c>
      <c r="BE252" s="23" t="s">
        <v>565</v>
      </c>
      <c r="BF252" s="22">
        <f>BD253*$B$201</f>
        <v>4.7962079406987419</v>
      </c>
      <c r="BI252" s="23" t="s">
        <v>509</v>
      </c>
      <c r="BJ252" s="22">
        <f>BH253*$B$201</f>
        <v>4.8077723583848284</v>
      </c>
      <c r="BM252" s="23" t="s">
        <v>449</v>
      </c>
      <c r="BN252" s="22">
        <f>BL253*$B$201</f>
        <v>4.8193646597152604</v>
      </c>
      <c r="BQ252" s="23" t="s">
        <v>385</v>
      </c>
      <c r="BR252" s="22">
        <f>BP253*$B$201</f>
        <v>4.830984911921921</v>
      </c>
    </row>
    <row r="253" spans="5:71" x14ac:dyDescent="0.2">
      <c r="AA253" s="23" t="s">
        <v>162</v>
      </c>
      <c r="AB253" s="22">
        <f>Z252*$B$202</f>
        <v>4.5515552685248455</v>
      </c>
      <c r="AE253" s="23" t="s">
        <v>188</v>
      </c>
      <c r="AF253" s="22">
        <f>AD254*$B$201</f>
        <v>4.5625297898336257</v>
      </c>
      <c r="AI253" s="23" t="s">
        <v>218</v>
      </c>
      <c r="AJ253" s="22">
        <f>AH254*$B$201</f>
        <v>4.5735307724530667</v>
      </c>
      <c r="AM253" s="23" t="s">
        <v>768</v>
      </c>
      <c r="AN253" s="22">
        <f>AL254*$B$201</f>
        <v>4.5845582801855862</v>
      </c>
      <c r="AQ253" s="23" t="s">
        <v>730</v>
      </c>
      <c r="AR253" s="22">
        <f>AP254*$B$201</f>
        <v>4.5956123769874351</v>
      </c>
      <c r="AU253" s="23" t="s">
        <v>688</v>
      </c>
      <c r="AV253" s="22">
        <f>AT254*$B$201</f>
        <v>4.6066931269690743</v>
      </c>
      <c r="AY253" s="23" t="s">
        <v>642</v>
      </c>
      <c r="AZ253" s="22">
        <f>AX254*$B$201</f>
        <v>4.6178005943955469</v>
      </c>
      <c r="BC253" s="23" t="s">
        <v>592</v>
      </c>
      <c r="BD253" s="22">
        <f>BB254*$B$201</f>
        <v>4.6289348436868485</v>
      </c>
      <c r="BG253" s="23" t="s">
        <v>538</v>
      </c>
      <c r="BH253" s="22">
        <f>BF254*$B$201</f>
        <v>4.6400959394182975</v>
      </c>
      <c r="BK253" s="23" t="s">
        <v>480</v>
      </c>
      <c r="BL253" s="22">
        <f>BJ254*$B$201</f>
        <v>4.6512839463209206</v>
      </c>
      <c r="BO253" s="23" t="s">
        <v>418</v>
      </c>
      <c r="BP253" s="22">
        <f>BN254*$B$201</f>
        <v>4.6624989292818153</v>
      </c>
      <c r="BS253" s="35"/>
    </row>
    <row r="254" spans="5:71" x14ac:dyDescent="0.2">
      <c r="AC254" s="23" t="s">
        <v>175</v>
      </c>
      <c r="AD254" s="22">
        <f>AB253*$B$202</f>
        <v>4.4034064787531415</v>
      </c>
      <c r="AG254" s="23" t="s">
        <v>203</v>
      </c>
      <c r="AH254" s="22">
        <f>AF255*$B$201</f>
        <v>4.4140237898438084</v>
      </c>
      <c r="AK254" s="23" t="s">
        <v>235</v>
      </c>
      <c r="AL254" s="22">
        <f>AJ255*$B$201</f>
        <v>4.4246667009546741</v>
      </c>
      <c r="AO254" s="23" t="s">
        <v>750</v>
      </c>
      <c r="AP254" s="22">
        <f>AN255*$B$201</f>
        <v>4.4353352738114449</v>
      </c>
      <c r="AS254" s="23" t="s">
        <v>710</v>
      </c>
      <c r="AT254" s="22">
        <f>AR255*$B$201</f>
        <v>4.4460295702886574</v>
      </c>
      <c r="AW254" s="23" t="s">
        <v>666</v>
      </c>
      <c r="AX254" s="22">
        <f>AV255*$B$201</f>
        <v>4.4567496524100392</v>
      </c>
      <c r="BA254" s="23" t="s">
        <v>618</v>
      </c>
      <c r="BB254" s="22">
        <f>AZ255*$B$201</f>
        <v>4.4674955823488673</v>
      </c>
      <c r="BE254" s="23" t="s">
        <v>566</v>
      </c>
      <c r="BF254" s="22">
        <f>BD255*$B$201</f>
        <v>4.478267422428325</v>
      </c>
      <c r="BI254" s="23" t="s">
        <v>510</v>
      </c>
      <c r="BJ254" s="22">
        <f>BH255*$B$201</f>
        <v>4.4890652351218705</v>
      </c>
      <c r="BM254" s="23" t="s">
        <v>450</v>
      </c>
      <c r="BN254" s="22">
        <f>BL255*$B$201</f>
        <v>4.499889083053592</v>
      </c>
      <c r="BQ254" s="23" t="s">
        <v>386</v>
      </c>
      <c r="BR254" s="22">
        <f>BP255*$B$201</f>
        <v>4.5107390289985814</v>
      </c>
    </row>
    <row r="255" spans="5:71" x14ac:dyDescent="0.2">
      <c r="AE255" s="23" t="s">
        <v>189</v>
      </c>
      <c r="AF255" s="22">
        <f>AD254*$B$202</f>
        <v>4.260079791013812</v>
      </c>
      <c r="AI255" s="23" t="s">
        <v>219</v>
      </c>
      <c r="AJ255" s="22">
        <f>AH256*$B$201</f>
        <v>4.2703515187388135</v>
      </c>
      <c r="AM255" s="23" t="s">
        <v>769</v>
      </c>
      <c r="AN255" s="22">
        <f>AL256*$B$201</f>
        <v>4.2806480132277329</v>
      </c>
      <c r="AQ255" s="23" t="s">
        <v>731</v>
      </c>
      <c r="AR255" s="22">
        <f>AP256*$B$201</f>
        <v>4.2909693341971646</v>
      </c>
      <c r="AU255" s="23" t="s">
        <v>689</v>
      </c>
      <c r="AV255" s="22">
        <f>AT256*$B$201</f>
        <v>4.3013155415076882</v>
      </c>
      <c r="AY255" s="23" t="s">
        <v>643</v>
      </c>
      <c r="AZ255" s="22">
        <f>AX256*$B$201</f>
        <v>4.3116866951642185</v>
      </c>
      <c r="BC255" s="23" t="s">
        <v>593</v>
      </c>
      <c r="BD255" s="22">
        <f>BB256*$B$201</f>
        <v>4.3220828553163493</v>
      </c>
      <c r="BG255" s="23" t="s">
        <v>539</v>
      </c>
      <c r="BH255" s="22">
        <f>BF256*$B$201</f>
        <v>4.3325040822587066</v>
      </c>
      <c r="BK255" s="23" t="s">
        <v>481</v>
      </c>
      <c r="BL255" s="22">
        <f>BJ256*$B$201</f>
        <v>4.3429504364312939</v>
      </c>
      <c r="BO255" s="23" t="s">
        <v>419</v>
      </c>
      <c r="BP255" s="22">
        <f>BN256*$B$201</f>
        <v>4.3534219784198509</v>
      </c>
      <c r="BS255" s="35"/>
    </row>
    <row r="256" spans="5:71" x14ac:dyDescent="0.2">
      <c r="AG256" s="23" t="s">
        <v>204</v>
      </c>
      <c r="AH256" s="22">
        <f>AF255*$B$202</f>
        <v>4.1214182504775509</v>
      </c>
      <c r="AK256" s="23" t="s">
        <v>236</v>
      </c>
      <c r="AL256" s="22">
        <f>AJ257*$B$201</f>
        <v>4.1313556432463567</v>
      </c>
      <c r="AO256" s="23" t="s">
        <v>751</v>
      </c>
      <c r="AP256" s="22">
        <f>AN257*$B$201</f>
        <v>4.1413169966444991</v>
      </c>
      <c r="AS256" s="23" t="s">
        <v>711</v>
      </c>
      <c r="AT256" s="22">
        <f>AR257*$B$201</f>
        <v>4.1513023684448545</v>
      </c>
      <c r="AW256" s="23" t="s">
        <v>667</v>
      </c>
      <c r="AX256" s="22">
        <f>AV257*$B$201</f>
        <v>4.1613118165595973</v>
      </c>
      <c r="BA256" s="23" t="s">
        <v>619</v>
      </c>
      <c r="BB256" s="22">
        <f>AZ257*$B$201</f>
        <v>4.1713453990405389</v>
      </c>
      <c r="BE256" s="23" t="s">
        <v>567</v>
      </c>
      <c r="BF256" s="22">
        <f>BD257*$B$201</f>
        <v>4.1814031740794624</v>
      </c>
      <c r="BI256" s="23" t="s">
        <v>511</v>
      </c>
      <c r="BJ256" s="22">
        <f>BH257*$B$201</f>
        <v>4.1914852000084588</v>
      </c>
      <c r="BM256" s="23" t="s">
        <v>451</v>
      </c>
      <c r="BN256" s="22">
        <f>BL257*$B$201</f>
        <v>4.2015915353002722</v>
      </c>
      <c r="BQ256" s="23" t="s">
        <v>387</v>
      </c>
      <c r="BR256" s="22">
        <f>BP257*$B$201</f>
        <v>4.2117222385686262</v>
      </c>
    </row>
    <row r="257" spans="35:71" x14ac:dyDescent="0.2">
      <c r="AI257" s="23" t="s">
        <v>220</v>
      </c>
      <c r="AJ257" s="22">
        <f>AH256*$B$202</f>
        <v>3.9872700110452848</v>
      </c>
      <c r="AM257" s="23" t="s">
        <v>770</v>
      </c>
      <c r="AN257" s="22">
        <f>AL258*$B$201</f>
        <v>3.9968839511423488</v>
      </c>
      <c r="AQ257" s="23" t="s">
        <v>732</v>
      </c>
      <c r="AR257" s="22">
        <f>AP258*$B$201</f>
        <v>4.006521071973081</v>
      </c>
      <c r="AU257" s="23" t="s">
        <v>690</v>
      </c>
      <c r="AV257" s="22">
        <f>AT258*$B$201</f>
        <v>4.0161814294299054</v>
      </c>
      <c r="AY257" s="23" t="s">
        <v>644</v>
      </c>
      <c r="AZ257" s="22">
        <f>AX258*$B$201</f>
        <v>4.0258650795400106</v>
      </c>
      <c r="BC257" s="23" t="s">
        <v>594</v>
      </c>
      <c r="BD257" s="22">
        <f>BB258*$B$201</f>
        <v>4.0355720784656777</v>
      </c>
      <c r="BG257" s="23" t="s">
        <v>540</v>
      </c>
      <c r="BH257" s="22">
        <f>BF258*$B$201</f>
        <v>4.0453024825046002</v>
      </c>
      <c r="BK257" s="23" t="s">
        <v>482</v>
      </c>
      <c r="BL257" s="22">
        <f>BJ258*$B$201</f>
        <v>4.0550563480902193</v>
      </c>
      <c r="BO257" s="23" t="s">
        <v>420</v>
      </c>
      <c r="BP257" s="22">
        <f>BN258*$B$201</f>
        <v>4.0648337317920413</v>
      </c>
      <c r="BS257" s="35"/>
    </row>
    <row r="258" spans="35:71" x14ac:dyDescent="0.2">
      <c r="AK258" s="23" t="s">
        <v>237</v>
      </c>
      <c r="AL258" s="22">
        <f>AJ257*$B$202</f>
        <v>3.8574881690638696</v>
      </c>
      <c r="AO258" s="23" t="s">
        <v>752</v>
      </c>
      <c r="AP258" s="22">
        <f>AN259*$B$201</f>
        <v>3.8667891845656492</v>
      </c>
      <c r="AS258" s="23" t="s">
        <v>712</v>
      </c>
      <c r="AT258" s="22">
        <f>AR259*$B$201</f>
        <v>3.8761126262902899</v>
      </c>
      <c r="AW258" s="23" t="s">
        <v>668</v>
      </c>
      <c r="AX258" s="22">
        <f>AV259*$B$201</f>
        <v>3.8854585483109703</v>
      </c>
      <c r="BA258" s="23" t="s">
        <v>620</v>
      </c>
      <c r="BB258" s="22">
        <f>AZ259*$B$201</f>
        <v>3.894827004831249</v>
      </c>
      <c r="BE258" s="23" t="s">
        <v>568</v>
      </c>
      <c r="BF258" s="22">
        <f>BD259*$B$201</f>
        <v>3.9042180501853747</v>
      </c>
      <c r="BI258" s="23" t="s">
        <v>512</v>
      </c>
      <c r="BJ258" s="22">
        <f>BH259*$B$201</f>
        <v>3.913631738838609</v>
      </c>
      <c r="BM258" s="23" t="s">
        <v>452</v>
      </c>
      <c r="BN258" s="22">
        <f>BL259*$B$201</f>
        <v>3.9230681253875348</v>
      </c>
      <c r="BQ258" s="23" t="s">
        <v>388</v>
      </c>
      <c r="BR258" s="22">
        <f>BP259*$B$201</f>
        <v>3.932527264560377</v>
      </c>
    </row>
    <row r="259" spans="35:71" x14ac:dyDescent="0.2">
      <c r="AM259" s="23" t="s">
        <v>771</v>
      </c>
      <c r="AN259" s="22">
        <f>AL258*$B$202</f>
        <v>3.7319306024541827</v>
      </c>
      <c r="AQ259" s="23" t="s">
        <v>733</v>
      </c>
      <c r="AR259" s="22">
        <f>AP260*$B$201</f>
        <v>3.7409288787582717</v>
      </c>
      <c r="AU259" s="23" t="s">
        <v>691</v>
      </c>
      <c r="AV259" s="22">
        <f>AT260*$B$201</f>
        <v>3.749948851333023</v>
      </c>
      <c r="AY259" s="23" t="s">
        <v>645</v>
      </c>
      <c r="AZ259" s="22">
        <f>AX260*$B$201</f>
        <v>3.758990572491586</v>
      </c>
      <c r="BC259" s="23" t="s">
        <v>595</v>
      </c>
      <c r="BD259" s="22">
        <f>BB260*$B$201</f>
        <v>3.7680540946732419</v>
      </c>
      <c r="BG259" s="23" t="s">
        <v>541</v>
      </c>
      <c r="BH259" s="22">
        <f>BF260*$B$201</f>
        <v>3.7771394704437151</v>
      </c>
      <c r="BK259" s="23" t="s">
        <v>483</v>
      </c>
      <c r="BL259" s="22">
        <f>BJ260*$B$201</f>
        <v>3.7862467524954719</v>
      </c>
      <c r="BO259" s="23" t="s">
        <v>421</v>
      </c>
      <c r="BP259" s="22">
        <f>BN260*$B$201</f>
        <v>3.79537599364803</v>
      </c>
      <c r="BS259" s="35"/>
    </row>
    <row r="260" spans="35:71" x14ac:dyDescent="0.2">
      <c r="AO260" s="23" t="s">
        <v>753</v>
      </c>
      <c r="AP260" s="22">
        <f>AN259*$B$202</f>
        <v>3.6104598150754406</v>
      </c>
      <c r="AS260" s="23" t="s">
        <v>713</v>
      </c>
      <c r="AT260" s="22">
        <f>AR261*$B$201</f>
        <v>3.6191652060544404</v>
      </c>
      <c r="AW260" s="23" t="s">
        <v>669</v>
      </c>
      <c r="AX260" s="22">
        <f>AV261*$B$201</f>
        <v>3.6278915871111539</v>
      </c>
      <c r="BA260" s="23" t="s">
        <v>621</v>
      </c>
      <c r="BB260" s="22">
        <f>AZ261*$B$201</f>
        <v>3.6366390088559841</v>
      </c>
      <c r="BE260" s="23" t="s">
        <v>569</v>
      </c>
      <c r="BF260" s="22">
        <f>BD261*$B$201</f>
        <v>3.6454075220213671</v>
      </c>
      <c r="BI260" s="23" t="s">
        <v>513</v>
      </c>
      <c r="BJ260" s="22">
        <f>BH261*$B$201</f>
        <v>3.654197177462061</v>
      </c>
      <c r="BM260" s="23" t="s">
        <v>453</v>
      </c>
      <c r="BN260" s="22">
        <f>BL261*$B$201</f>
        <v>3.6630080261554432</v>
      </c>
      <c r="BQ260" s="23" t="s">
        <v>389</v>
      </c>
      <c r="BR260" s="22">
        <f>BP261*$B$201</f>
        <v>3.6718401192018058</v>
      </c>
    </row>
    <row r="261" spans="35:71" x14ac:dyDescent="0.2">
      <c r="AQ261" s="23" t="s">
        <v>734</v>
      </c>
      <c r="AR261" s="22">
        <f>AP260*$B$202</f>
        <v>3.4929427861553117</v>
      </c>
      <c r="AU261" s="23" t="s">
        <v>692</v>
      </c>
      <c r="AV261" s="22">
        <f>AT262*$B$201</f>
        <v>3.5013648249476548</v>
      </c>
      <c r="AY261" s="23" t="s">
        <v>646</v>
      </c>
      <c r="AZ261" s="22">
        <f>AX262*$B$201</f>
        <v>3.5098071706106682</v>
      </c>
      <c r="BC261" s="23" t="s">
        <v>596</v>
      </c>
      <c r="BD261" s="22">
        <f>BB262*$B$201</f>
        <v>3.5182698721074375</v>
      </c>
      <c r="BG261" s="23" t="s">
        <v>542</v>
      </c>
      <c r="BH261" s="22">
        <f>BF262*$B$201</f>
        <v>3.5267529785191045</v>
      </c>
      <c r="BK261" s="23" t="s">
        <v>484</v>
      </c>
      <c r="BL261" s="22">
        <f>BJ262*$B$201</f>
        <v>3.5352565390451538</v>
      </c>
      <c r="BO261" s="23" t="s">
        <v>422</v>
      </c>
      <c r="BP261" s="22">
        <f>BN262*$B$201</f>
        <v>3.5437806030036976</v>
      </c>
      <c r="BS261" s="35"/>
    </row>
    <row r="262" spans="35:71" x14ac:dyDescent="0.2">
      <c r="AS262" s="23" t="s">
        <v>714</v>
      </c>
      <c r="AT262" s="22">
        <f>AR261*$B$202</f>
        <v>3.3792508246209354</v>
      </c>
      <c r="AW262" s="23" t="s">
        <v>670</v>
      </c>
      <c r="AX262" s="22">
        <f>AV263*$B$201</f>
        <v>3.3873987340704743</v>
      </c>
      <c r="BA262" s="23" t="s">
        <v>622</v>
      </c>
      <c r="BB262" s="22">
        <f>AZ263*$B$201</f>
        <v>3.3955662894213812</v>
      </c>
      <c r="BE262" s="23" t="s">
        <v>570</v>
      </c>
      <c r="BF262" s="22">
        <f>BD263*$B$201</f>
        <v>3.4037535380430386</v>
      </c>
      <c r="BI262" s="23" t="s">
        <v>514</v>
      </c>
      <c r="BJ262" s="22">
        <f>BH263*$B$201</f>
        <v>3.4119605274190445</v>
      </c>
      <c r="BM262" s="23" t="s">
        <v>454</v>
      </c>
      <c r="BN262" s="22">
        <f>BL263*$B$201</f>
        <v>3.4201873051474867</v>
      </c>
      <c r="BQ262" s="23" t="s">
        <v>390</v>
      </c>
      <c r="BR262" s="22">
        <f>BP263*$B$201</f>
        <v>3.4284339189412196</v>
      </c>
    </row>
    <row r="263" spans="35:71" x14ac:dyDescent="0.2">
      <c r="AQ263" s="35"/>
      <c r="AU263" s="23" t="s">
        <v>693</v>
      </c>
      <c r="AV263" s="22">
        <f>AT262*$B$202</f>
        <v>3.2692594281713259</v>
      </c>
      <c r="AY263" s="23" t="s">
        <v>647</v>
      </c>
      <c r="AZ263" s="22">
        <f>AX264*$B$201</f>
        <v>3.2771421309271296</v>
      </c>
      <c r="BC263" s="23" t="s">
        <v>597</v>
      </c>
      <c r="BD263" s="22">
        <f>BB264*$B$201</f>
        <v>3.2850438401289193</v>
      </c>
      <c r="BG263" s="23" t="s">
        <v>543</v>
      </c>
      <c r="BH263" s="22">
        <f>BF264*$B$201</f>
        <v>3.29296460160425</v>
      </c>
      <c r="BK263" s="23" t="s">
        <v>485</v>
      </c>
      <c r="BL263" s="22">
        <f>BJ264*$B$201</f>
        <v>3.3009044612911729</v>
      </c>
      <c r="BO263" s="23" t="s">
        <v>423</v>
      </c>
      <c r="BP263" s="22">
        <f>BN264*$B$201</f>
        <v>3.3088634652385034</v>
      </c>
      <c r="BS263" s="35"/>
    </row>
    <row r="264" spans="35:71" x14ac:dyDescent="0.2">
      <c r="AS264" s="35"/>
      <c r="AW264" s="23" t="s">
        <v>671</v>
      </c>
      <c r="AX264" s="22">
        <f>AV263*$B$202</f>
        <v>3.1628481469368372</v>
      </c>
      <c r="BA264" s="23" t="s">
        <v>623</v>
      </c>
      <c r="BB264" s="22">
        <f>AZ265*$B$201</f>
        <v>3.1704742752242434</v>
      </c>
      <c r="BE264" s="23" t="s">
        <v>571</v>
      </c>
      <c r="BF264" s="22">
        <f>BD265*$B$201</f>
        <v>3.1781187913159181</v>
      </c>
      <c r="BI264" s="23" t="s">
        <v>515</v>
      </c>
      <c r="BJ264" s="22">
        <f>BH265*$B$201</f>
        <v>3.1857817395477723</v>
      </c>
      <c r="BM264" s="23" t="s">
        <v>455</v>
      </c>
      <c r="BN264" s="22">
        <f>BL265*$B$201</f>
        <v>3.1934631643626172</v>
      </c>
      <c r="BQ264" s="23" t="s">
        <v>391</v>
      </c>
      <c r="BR264" s="22">
        <f>BP265*$B$201</f>
        <v>3.201163110310425</v>
      </c>
    </row>
    <row r="265" spans="35:71" x14ac:dyDescent="0.2">
      <c r="AQ265" s="35"/>
      <c r="AU265" s="35"/>
      <c r="AY265" s="23" t="s">
        <v>648</v>
      </c>
      <c r="AZ265" s="22">
        <f>AX264*$B$202</f>
        <v>3.0599004515763819</v>
      </c>
      <c r="BC265" s="23" t="s">
        <v>598</v>
      </c>
      <c r="BD265" s="22">
        <f>BB266*$B$201</f>
        <v>3.0672783566500144</v>
      </c>
      <c r="BG265" s="23" t="s">
        <v>544</v>
      </c>
      <c r="BH265" s="22">
        <f>BF266*$B$201</f>
        <v>3.074674051022396</v>
      </c>
      <c r="BK265" s="23" t="s">
        <v>486</v>
      </c>
      <c r="BL265" s="22">
        <f>BJ266*$B$201</f>
        <v>3.0820875775863459</v>
      </c>
      <c r="BO265" s="23" t="s">
        <v>424</v>
      </c>
      <c r="BP265" s="22">
        <f>BN266*$B$201</f>
        <v>3.0895189793381053</v>
      </c>
      <c r="BS265" s="35"/>
    </row>
    <row r="266" spans="35:71" x14ac:dyDescent="0.2">
      <c r="AS266" s="35"/>
      <c r="BA266" s="23" t="s">
        <v>624</v>
      </c>
      <c r="BB266" s="22">
        <f>AZ265*$B$202</f>
        <v>2.9603036056679604</v>
      </c>
      <c r="BE266" s="23" t="s">
        <v>572</v>
      </c>
      <c r="BF266" s="22">
        <f>BD267*$B$201</f>
        <v>2.9674413669570567</v>
      </c>
      <c r="BI266" s="23" t="s">
        <v>516</v>
      </c>
      <c r="BJ266" s="22">
        <f>BH267*$B$201</f>
        <v>2.9745963385201675</v>
      </c>
      <c r="BM266" s="23" t="s">
        <v>456</v>
      </c>
      <c r="BN266" s="22">
        <f>BL267*$B$201</f>
        <v>2.981768561853992</v>
      </c>
      <c r="BQ266" s="23" t="s">
        <v>392</v>
      </c>
      <c r="BR266" s="22">
        <f>BP267*$B$201</f>
        <v>2.9889580785552847</v>
      </c>
    </row>
    <row r="267" spans="35:71" x14ac:dyDescent="0.2">
      <c r="AQ267" s="35"/>
      <c r="BC267" s="23" t="s">
        <v>599</v>
      </c>
      <c r="BD267" s="22">
        <f>BB266*$B$202</f>
        <v>2.8639485422527553</v>
      </c>
      <c r="BG267" s="23" t="s">
        <v>545</v>
      </c>
      <c r="BH267" s="22">
        <f>BF268*$B$201</f>
        <v>2.8708539762088252</v>
      </c>
      <c r="BK267" s="23" t="s">
        <v>487</v>
      </c>
      <c r="BL267" s="22">
        <f>BJ268*$B$201</f>
        <v>2.8777760602608788</v>
      </c>
      <c r="BO267" s="23" t="s">
        <v>425</v>
      </c>
      <c r="BP267" s="22">
        <f>BN268*$B$201</f>
        <v>2.8847148345549378</v>
      </c>
      <c r="BS267" s="35"/>
    </row>
    <row r="268" spans="35:71" x14ac:dyDescent="0.2">
      <c r="BE268" s="23" t="s">
        <v>573</v>
      </c>
      <c r="BF268" s="22">
        <f>BD267*$B$202</f>
        <v>2.7707297443976002</v>
      </c>
      <c r="BI268" s="23" t="s">
        <v>517</v>
      </c>
      <c r="BJ268" s="22">
        <f>BH269*$B$201</f>
        <v>2.7774104130541</v>
      </c>
      <c r="BM268" s="23" t="s">
        <v>457</v>
      </c>
      <c r="BN268" s="22">
        <f>BL269*$B$201</f>
        <v>2.7841071898618144</v>
      </c>
      <c r="BQ268" s="23" t="s">
        <v>393</v>
      </c>
      <c r="BR268" s="22">
        <f>BP269*$B$201</f>
        <v>2.7908201136600499</v>
      </c>
    </row>
    <row r="269" spans="35:71" x14ac:dyDescent="0.2">
      <c r="BG269" s="23" t="s">
        <v>546</v>
      </c>
      <c r="BH269" s="22">
        <f>BF268*$B$202</f>
        <v>2.6805451296450249</v>
      </c>
      <c r="BK269" s="23" t="s">
        <v>488</v>
      </c>
      <c r="BL269" s="22">
        <f>BJ270*$B$201</f>
        <v>2.6870083488984227</v>
      </c>
      <c r="BO269" s="23" t="s">
        <v>426</v>
      </c>
      <c r="BP269" s="22">
        <f>BN270*$B$201</f>
        <v>2.6934871519980521</v>
      </c>
      <c r="BS269" s="35"/>
    </row>
    <row r="270" spans="35:71" x14ac:dyDescent="0.2">
      <c r="BI270" s="23" t="s">
        <v>518</v>
      </c>
      <c r="BJ270" s="22">
        <f>BH269*$B$202</f>
        <v>2.5932959382243408</v>
      </c>
      <c r="BM270" s="23" t="s">
        <v>458</v>
      </c>
      <c r="BN270" s="22">
        <f>BL271*$B$201</f>
        <v>2.5995487858456414</v>
      </c>
      <c r="BQ270" s="23" t="s">
        <v>394</v>
      </c>
      <c r="BR270" s="22">
        <f>BP271*$B$201</f>
        <v>2.6058167100738188</v>
      </c>
    </row>
    <row r="271" spans="35:71" x14ac:dyDescent="0.2">
      <c r="BK271" s="23" t="s">
        <v>489</v>
      </c>
      <c r="BL271" s="22">
        <f>BJ270*$B$202</f>
        <v>2.5088866249013524</v>
      </c>
      <c r="BO271" s="23" t="s">
        <v>427</v>
      </c>
      <c r="BP271" s="22">
        <f>BN272*$B$201</f>
        <v>2.5149359482868543</v>
      </c>
      <c r="BS271" s="35"/>
    </row>
    <row r="272" spans="35:71" x14ac:dyDescent="0.2">
      <c r="BI272" s="35"/>
      <c r="BM272" s="23" t="s">
        <v>459</v>
      </c>
      <c r="BN272" s="22">
        <f>BL271*$B$202</f>
        <v>2.4272247543482535</v>
      </c>
      <c r="BQ272" s="23" t="s">
        <v>395</v>
      </c>
      <c r="BR272" s="22">
        <f>BP273*$B$201</f>
        <v>2.4330771780180256</v>
      </c>
    </row>
    <row r="273" spans="5:73" x14ac:dyDescent="0.2">
      <c r="BK273" s="35"/>
      <c r="BO273" s="23" t="s">
        <v>428</v>
      </c>
      <c r="BP273" s="22">
        <f>BN272*$B$202</f>
        <v>2.3482208999191365</v>
      </c>
      <c r="BS273" s="35"/>
    </row>
    <row r="274" spans="5:73" x14ac:dyDescent="0.2">
      <c r="BI274" s="35"/>
      <c r="BM274" s="35"/>
      <c r="BQ274" s="23" t="s">
        <v>396</v>
      </c>
      <c r="BR274" s="22">
        <f>BP273*$B$202</f>
        <v>2.2717885457202622</v>
      </c>
    </row>
    <row r="275" spans="5:73" x14ac:dyDescent="0.2">
      <c r="E275" s="12" t="s">
        <v>16</v>
      </c>
      <c r="F275" s="12"/>
      <c r="G275" s="12"/>
      <c r="H275" s="12"/>
      <c r="BK275" s="35"/>
      <c r="BS275" s="35"/>
    </row>
    <row r="276" spans="5:73" x14ac:dyDescent="0.2">
      <c r="E276" t="s">
        <v>62</v>
      </c>
      <c r="BI276" s="35"/>
    </row>
    <row r="278" spans="5:73" x14ac:dyDescent="0.2">
      <c r="BT278" s="39"/>
      <c r="BU278" s="39"/>
    </row>
    <row r="281" spans="5:73" x14ac:dyDescent="0.2">
      <c r="E281" s="45" t="s">
        <v>250</v>
      </c>
      <c r="F281" s="46"/>
      <c r="G281" s="45" t="s">
        <v>301</v>
      </c>
      <c r="H281" s="46"/>
      <c r="I281" s="45" t="s">
        <v>302</v>
      </c>
      <c r="J281" s="46"/>
      <c r="K281" s="45" t="s">
        <v>303</v>
      </c>
      <c r="L281" s="46"/>
      <c r="M281" s="45" t="s">
        <v>304</v>
      </c>
      <c r="N281" s="46"/>
      <c r="O281" s="45" t="s">
        <v>305</v>
      </c>
      <c r="P281" s="46"/>
      <c r="Q281" s="45" t="s">
        <v>306</v>
      </c>
      <c r="R281" s="46"/>
      <c r="S281" s="45" t="s">
        <v>307</v>
      </c>
      <c r="T281" s="46"/>
      <c r="U281" s="45" t="s">
        <v>308</v>
      </c>
      <c r="V281" s="46"/>
      <c r="W281" s="45" t="s">
        <v>309</v>
      </c>
      <c r="X281" s="46"/>
      <c r="Y281" s="45" t="s">
        <v>310</v>
      </c>
      <c r="Z281" s="46"/>
      <c r="AA281" s="45" t="s">
        <v>311</v>
      </c>
      <c r="AB281" s="46"/>
      <c r="AC281" s="45" t="s">
        <v>312</v>
      </c>
      <c r="AD281" s="46"/>
      <c r="AE281" s="45" t="s">
        <v>313</v>
      </c>
      <c r="AF281" s="46"/>
      <c r="AG281" s="45" t="s">
        <v>314</v>
      </c>
      <c r="AH281" s="46"/>
      <c r="AI281" s="45" t="s">
        <v>315</v>
      </c>
      <c r="AJ281" s="46"/>
      <c r="AK281" s="45" t="s">
        <v>316</v>
      </c>
      <c r="AL281" s="46"/>
      <c r="AM281" s="45" t="s">
        <v>317</v>
      </c>
      <c r="AN281" s="46"/>
      <c r="AO281" s="45" t="s">
        <v>318</v>
      </c>
      <c r="AP281" s="46"/>
      <c r="AQ281" s="45" t="s">
        <v>319</v>
      </c>
      <c r="AR281" s="46"/>
      <c r="AS281" s="45" t="s">
        <v>320</v>
      </c>
      <c r="AT281" s="46"/>
      <c r="AU281" s="45" t="s">
        <v>321</v>
      </c>
      <c r="AV281" s="46"/>
      <c r="AW281" s="45" t="s">
        <v>322</v>
      </c>
      <c r="AX281" s="46"/>
      <c r="AY281" s="40" t="s">
        <v>323</v>
      </c>
      <c r="AZ281" s="41"/>
      <c r="BA281" s="40" t="s">
        <v>324</v>
      </c>
      <c r="BB281" s="41"/>
      <c r="BC281" s="40" t="s">
        <v>325</v>
      </c>
      <c r="BD281" s="41"/>
      <c r="BE281" s="40" t="s">
        <v>326</v>
      </c>
      <c r="BF281" s="41"/>
      <c r="BG281" s="40" t="s">
        <v>327</v>
      </c>
      <c r="BH281" s="41"/>
      <c r="BI281" s="40" t="s">
        <v>328</v>
      </c>
      <c r="BJ281" s="41"/>
      <c r="BK281" s="40" t="s">
        <v>329</v>
      </c>
      <c r="BL281" s="41"/>
      <c r="BM281" s="40" t="s">
        <v>330</v>
      </c>
      <c r="BN281" s="41"/>
      <c r="BO281" s="40" t="s">
        <v>331</v>
      </c>
      <c r="BP281" s="41"/>
      <c r="BQ281" s="40" t="s">
        <v>249</v>
      </c>
      <c r="BR281" s="41"/>
    </row>
    <row r="283" spans="5:73" x14ac:dyDescent="0.2">
      <c r="BQ283" s="36" t="s">
        <v>284</v>
      </c>
      <c r="BR283" s="22">
        <f>MAX(BR210-$B$1,0)</f>
        <v>11.997796405253117</v>
      </c>
    </row>
    <row r="284" spans="5:73" x14ac:dyDescent="0.2">
      <c r="BO284" s="36" t="s">
        <v>284</v>
      </c>
      <c r="BP284" s="22">
        <f>EXP(-$B$200*1/32) * (BR283*$B$203 +BR285* $B$204)</f>
        <v>11.296509112959313</v>
      </c>
    </row>
    <row r="285" spans="5:73" x14ac:dyDescent="0.2">
      <c r="BM285" s="36" t="s">
        <v>284</v>
      </c>
      <c r="BN285" s="22">
        <f>EXP(-$B$200*1/32) * (BP284*$B$203 +BP286* $B$204)</f>
        <v>10.620020380135967</v>
      </c>
      <c r="BQ285" s="36" t="s">
        <v>241</v>
      </c>
      <c r="BR285" s="22">
        <f>MAX(BR212-$B$1,0)</f>
        <v>10.645626932860361</v>
      </c>
    </row>
    <row r="286" spans="5:73" x14ac:dyDescent="0.2">
      <c r="BK286" s="36" t="s">
        <v>284</v>
      </c>
      <c r="BL286" s="22">
        <f>EXP(-$B$200*1/32) * (BN285*$B$203 +BN287* $B$204)</f>
        <v>9.9674649197662468</v>
      </c>
      <c r="BO286" s="36" t="s">
        <v>241</v>
      </c>
      <c r="BP286" s="22">
        <f t="shared" ref="H286:BP316" si="41">EXP(-$B$200*1/32) * (BR285*$B$203 +BR287* $B$204)</f>
        <v>9.9914980578263162</v>
      </c>
    </row>
    <row r="287" spans="5:73" x14ac:dyDescent="0.2">
      <c r="BI287" s="36" t="s">
        <v>284</v>
      </c>
      <c r="BJ287" s="22">
        <f>EXP(-$B$200*1/32) * (BL286*$B$203 +BL288* $B$204)</f>
        <v>9.338007623175276</v>
      </c>
      <c r="BM287" s="36" t="s">
        <v>241</v>
      </c>
      <c r="BN287" s="22">
        <f t="shared" si="41"/>
        <v>9.3605230399056314</v>
      </c>
      <c r="BQ287" s="36" t="s">
        <v>243</v>
      </c>
      <c r="BR287" s="22">
        <f>MAX(BR214-$B$1,0)</f>
        <v>9.3830927448750803</v>
      </c>
    </row>
    <row r="288" spans="5:73" x14ac:dyDescent="0.2">
      <c r="BG288" s="36" t="s">
        <v>284</v>
      </c>
      <c r="BH288" s="22">
        <f>EXP(-$B$200*1/32) * (BJ287*$B$203 +BJ289* $B$204)</f>
        <v>8.7308425075262335</v>
      </c>
      <c r="BK288" s="36" t="s">
        <v>241</v>
      </c>
      <c r="BL288" s="22">
        <f t="shared" si="41"/>
        <v>8.7518939529090982</v>
      </c>
      <c r="BO288" s="36" t="s">
        <v>243</v>
      </c>
      <c r="BP288" s="22">
        <f t="shared" ref="J288:BP317" si="42">EXP(-$B$200*1/32) * (BR287*$B$203 +BR289* $B$204)</f>
        <v>8.7729961566640551</v>
      </c>
    </row>
    <row r="289" spans="27:70" x14ac:dyDescent="0.2">
      <c r="BE289" s="36" t="s">
        <v>284</v>
      </c>
      <c r="BF289" s="22">
        <f>EXP(-$B$200*1/32) * (BH288*$B$203 +BH290* $B$204)</f>
        <v>8.1451917000237017</v>
      </c>
      <c r="BI289" s="36" t="s">
        <v>241</v>
      </c>
      <c r="BJ289" s="22">
        <f t="shared" si="41"/>
        <v>8.164831048466672</v>
      </c>
      <c r="BM289" s="36" t="s">
        <v>243</v>
      </c>
      <c r="BN289" s="22">
        <f t="shared" si="42"/>
        <v>8.1845177504921551</v>
      </c>
      <c r="BQ289" s="36" t="s">
        <v>285</v>
      </c>
      <c r="BR289" s="22">
        <f>MAX(BR216-$B$1,0)</f>
        <v>8.2042519202771498</v>
      </c>
    </row>
    <row r="290" spans="27:70" x14ac:dyDescent="0.2">
      <c r="BC290" s="36" t="s">
        <v>284</v>
      </c>
      <c r="BD290" s="22">
        <f>EXP(-$B$200*1/32) * (BF289*$B$203 +BF291* $B$204)</f>
        <v>7.5803044575440524</v>
      </c>
      <c r="BG290" s="36" t="s">
        <v>241</v>
      </c>
      <c r="BH290" s="22">
        <f t="shared" si="41"/>
        <v>7.5985817732940379</v>
      </c>
      <c r="BK290" s="36" t="s">
        <v>243</v>
      </c>
      <c r="BL290" s="22">
        <f t="shared" si="42"/>
        <v>7.6169031585497944</v>
      </c>
      <c r="BO290" s="36" t="s">
        <v>285</v>
      </c>
      <c r="BP290" s="22">
        <f t="shared" ref="L290:BP318" si="43">EXP(-$B$200*1/32) * (BR289*$B$203 +BR291* $B$204)</f>
        <v>7.6352687195698845</v>
      </c>
    </row>
    <row r="291" spans="27:70" x14ac:dyDescent="0.2">
      <c r="BA291" s="36" t="s">
        <v>284</v>
      </c>
      <c r="BB291" s="22">
        <f>EXP(-$B$200*1/32) * (BD290*$B$203 +BD292* $B$204)</f>
        <v>7.035456220457319</v>
      </c>
      <c r="BE291" s="36" t="s">
        <v>241</v>
      </c>
      <c r="BF291" s="22">
        <f t="shared" si="41"/>
        <v>7.0524198207331006</v>
      </c>
      <c r="BI291" s="36" t="s">
        <v>243</v>
      </c>
      <c r="BJ291" s="22">
        <f t="shared" si="42"/>
        <v>7.0694243229383806</v>
      </c>
      <c r="BM291" s="36" t="s">
        <v>285</v>
      </c>
      <c r="BN291" s="22">
        <f t="shared" si="43"/>
        <v>7.0864698256941949</v>
      </c>
      <c r="BQ291" s="36" t="s">
        <v>244</v>
      </c>
      <c r="BR291" s="22">
        <f>MAX(BR218-$B$1,0)</f>
        <v>7.1035564278593704</v>
      </c>
    </row>
    <row r="292" spans="27:70" x14ac:dyDescent="0.2">
      <c r="AY292" s="36" t="s">
        <v>284</v>
      </c>
      <c r="AZ292" s="22">
        <f>EXP(-$B$200*1/32) * (BB291*$B$203 +BB293* $B$204)</f>
        <v>6.5099476994480892</v>
      </c>
      <c r="BC292" s="36" t="s">
        <v>241</v>
      </c>
      <c r="BD292" s="22">
        <f t="shared" si="41"/>
        <v>6.525644215371047</v>
      </c>
      <c r="BG292" s="36" t="s">
        <v>243</v>
      </c>
      <c r="BH292" s="22">
        <f t="shared" si="42"/>
        <v>6.5413785780822575</v>
      </c>
      <c r="BK292" s="36" t="s">
        <v>285</v>
      </c>
      <c r="BL292" s="22">
        <f t="shared" si="43"/>
        <v>6.5571508788363282</v>
      </c>
      <c r="BO292" s="36" t="s">
        <v>244</v>
      </c>
      <c r="BP292" s="22">
        <f t="shared" ref="N292:BP319" si="44">EXP(-$B$200*1/32) * (BR291*$B$203 +BR293* $B$204)</f>
        <v>6.5729612091078931</v>
      </c>
    </row>
    <row r="293" spans="27:70" x14ac:dyDescent="0.2">
      <c r="AW293" s="36" t="s">
        <v>284</v>
      </c>
      <c r="AX293" s="22">
        <f>EXP(-$B$200*1/32) * (AZ292*$B$203 +AZ294* $B$204)</f>
        <v>6.0031039941845261</v>
      </c>
      <c r="BA293" s="36" t="s">
        <v>241</v>
      </c>
      <c r="BB293" s="22">
        <f t="shared" si="41"/>
        <v>6.0175784295843497</v>
      </c>
      <c r="BE293" s="36" t="s">
        <v>243</v>
      </c>
      <c r="BF293" s="22">
        <f t="shared" si="42"/>
        <v>6.0320877651425482</v>
      </c>
      <c r="BI293" s="36" t="s">
        <v>285</v>
      </c>
      <c r="BJ293" s="22">
        <f t="shared" si="43"/>
        <v>6.0466320850089366</v>
      </c>
      <c r="BM293" s="36" t="s">
        <v>244</v>
      </c>
      <c r="BN293" s="22">
        <f t="shared" si="44"/>
        <v>6.0612114735362299</v>
      </c>
      <c r="BQ293" s="36" t="s">
        <v>245</v>
      </c>
      <c r="BR293" s="22">
        <f>MAX(BR220-$B$1,0)</f>
        <v>6.0758260152805263</v>
      </c>
    </row>
    <row r="294" spans="27:70" x14ac:dyDescent="0.2">
      <c r="AU294" s="36" t="s">
        <v>284</v>
      </c>
      <c r="AV294" s="22">
        <f>EXP(-$B$200*1/32) * (AX293*$B$203 +AX295* $B$204)</f>
        <v>5.5142737427248019</v>
      </c>
      <c r="AY294" s="36" t="s">
        <v>241</v>
      </c>
      <c r="AZ294" s="22">
        <f t="shared" si="41"/>
        <v>5.5275695308942767</v>
      </c>
      <c r="BC294" s="36" t="s">
        <v>243</v>
      </c>
      <c r="BD294" s="22">
        <f t="shared" si="42"/>
        <v>5.5408973773168047</v>
      </c>
      <c r="BG294" s="36" t="s">
        <v>285</v>
      </c>
      <c r="BH294" s="22">
        <f t="shared" si="43"/>
        <v>5.5542573592899158</v>
      </c>
      <c r="BK294" s="36" t="s">
        <v>244</v>
      </c>
      <c r="BL294" s="22">
        <f t="shared" si="44"/>
        <v>5.5676495542975184</v>
      </c>
      <c r="BO294" s="36" t="s">
        <v>245</v>
      </c>
      <c r="BP294" s="22">
        <f t="shared" ref="P294:BP320" si="45">EXP(-$B$200*1/32) * (BR293*$B$203 +BR295* $B$204)</f>
        <v>5.5810740400103436</v>
      </c>
    </row>
    <row r="295" spans="27:70" x14ac:dyDescent="0.2">
      <c r="AS295" s="36" t="s">
        <v>284</v>
      </c>
      <c r="AT295" s="22">
        <f>EXP(-$B$200*1/32) * (AV294*$B$203 +AV296* $B$204)</f>
        <v>5.0428283005889201</v>
      </c>
      <c r="AW295" s="36" t="s">
        <v>241</v>
      </c>
      <c r="AX295" s="22">
        <f t="shared" si="41"/>
        <v>5.0549873590593357</v>
      </c>
      <c r="BA295" s="36" t="s">
        <v>243</v>
      </c>
      <c r="BB295" s="22">
        <f t="shared" si="42"/>
        <v>5.067175734947293</v>
      </c>
      <c r="BE295" s="36" t="s">
        <v>285</v>
      </c>
      <c r="BF295" s="22">
        <f t="shared" si="43"/>
        <v>5.0793934989417355</v>
      </c>
      <c r="BI295" s="36" t="s">
        <v>244</v>
      </c>
      <c r="BJ295" s="22">
        <f t="shared" si="44"/>
        <v>5.0916407219020474</v>
      </c>
      <c r="BM295" s="36" t="s">
        <v>245</v>
      </c>
      <c r="BN295" s="22">
        <f t="shared" si="45"/>
        <v>5.1039174748584637</v>
      </c>
      <c r="BQ295" s="36" t="s">
        <v>246</v>
      </c>
      <c r="BR295" s="22">
        <f>MAX(BR222-$B$1,0)</f>
        <v>5.1162238290124868</v>
      </c>
    </row>
    <row r="296" spans="27:70" x14ac:dyDescent="0.2">
      <c r="AQ296" s="36" t="s">
        <v>284</v>
      </c>
      <c r="AR296" s="22">
        <f>EXP(-$B$200*1/32) * (AT295*$B$203 +AT297* $B$204)</f>
        <v>4.5881665598194257</v>
      </c>
      <c r="AU296" s="36" t="s">
        <v>241</v>
      </c>
      <c r="AV296" s="22">
        <f t="shared" si="41"/>
        <v>4.599223731867526</v>
      </c>
      <c r="AY296" s="36" t="s">
        <v>243</v>
      </c>
      <c r="AZ296" s="22">
        <f t="shared" si="42"/>
        <v>4.6103131893982869</v>
      </c>
      <c r="BC296" s="36" t="s">
        <v>285</v>
      </c>
      <c r="BD296" s="22">
        <f t="shared" si="43"/>
        <v>4.6214293853691615</v>
      </c>
      <c r="BG296" s="36" t="s">
        <v>244</v>
      </c>
      <c r="BH296" s="22">
        <f t="shared" si="44"/>
        <v>4.6325723842507678</v>
      </c>
      <c r="BK296" s="36" t="s">
        <v>245</v>
      </c>
      <c r="BL296" s="22">
        <f t="shared" si="45"/>
        <v>4.6437422506691748</v>
      </c>
      <c r="BO296" s="36" t="s">
        <v>246</v>
      </c>
      <c r="BP296" s="22">
        <f t="shared" ref="R296:BP321" si="46">EXP(-$B$200*1/32) * (BR295*$B$203 +BR297* $B$204)</f>
        <v>4.6549390494062699</v>
      </c>
    </row>
    <row r="297" spans="27:70" x14ac:dyDescent="0.2">
      <c r="AO297" s="36" t="s">
        <v>284</v>
      </c>
      <c r="AP297" s="22">
        <f>EXP(-$B$200*1/32) * (AR296*$B$203 +AR298* $B$204)</f>
        <v>4.1497697469602377</v>
      </c>
      <c r="AS297" s="36" t="s">
        <v>241</v>
      </c>
      <c r="AT297" s="22">
        <f t="shared" si="41"/>
        <v>4.1597027254601677</v>
      </c>
      <c r="AW297" s="36" t="s">
        <v>243</v>
      </c>
      <c r="AX297" s="22">
        <f t="shared" si="42"/>
        <v>4.1697213546990355</v>
      </c>
      <c r="BA297" s="36" t="s">
        <v>285</v>
      </c>
      <c r="BB297" s="22">
        <f t="shared" si="43"/>
        <v>4.1797752139095907</v>
      </c>
      <c r="BE297" s="36" t="s">
        <v>244</v>
      </c>
      <c r="BF297" s="22">
        <f t="shared" si="44"/>
        <v>4.1898533145685368</v>
      </c>
      <c r="BI297" s="36" t="s">
        <v>245</v>
      </c>
      <c r="BJ297" s="22">
        <f t="shared" si="45"/>
        <v>4.1999557151258502</v>
      </c>
      <c r="BM297" s="36" t="s">
        <v>246</v>
      </c>
      <c r="BN297" s="22">
        <f t="shared" si="46"/>
        <v>4.2100824741724363</v>
      </c>
      <c r="BQ297" s="36" t="s">
        <v>247</v>
      </c>
      <c r="BR297" s="22">
        <f>MAX(BR224-$B$1,0)</f>
        <v>4.2202336504404752</v>
      </c>
    </row>
    <row r="298" spans="27:70" x14ac:dyDescent="0.2">
      <c r="AM298" s="36" t="s">
        <v>284</v>
      </c>
      <c r="AN298" s="22">
        <f>EXP(-$B$200*1/32) * (AP297*$B$203 +AP299* $B$204)</f>
        <v>3.7273553125966443</v>
      </c>
      <c r="AQ298" s="36" t="s">
        <v>241</v>
      </c>
      <c r="AR298" s="22">
        <f t="shared" si="41"/>
        <v>3.7359838960967187</v>
      </c>
      <c r="AU298" s="36" t="s">
        <v>243</v>
      </c>
      <c r="AV298" s="22">
        <f t="shared" si="42"/>
        <v>3.7448541133953248</v>
      </c>
      <c r="AY298" s="36" t="s">
        <v>285</v>
      </c>
      <c r="AZ298" s="22">
        <f t="shared" si="43"/>
        <v>3.7538617504853087</v>
      </c>
      <c r="BC298" s="36" t="s">
        <v>244</v>
      </c>
      <c r="BD298" s="22">
        <f t="shared" si="44"/>
        <v>3.7629129062640363</v>
      </c>
      <c r="BG298" s="36" t="s">
        <v>245</v>
      </c>
      <c r="BH298" s="22">
        <f t="shared" si="45"/>
        <v>3.7719858858142228</v>
      </c>
      <c r="BK298" s="36" t="s">
        <v>246</v>
      </c>
      <c r="BL298" s="22">
        <f t="shared" si="46"/>
        <v>3.7810807417564409</v>
      </c>
      <c r="BO298" s="36" t="s">
        <v>247</v>
      </c>
      <c r="BP298" s="22">
        <f t="shared" ref="T298:BP322" si="47">EXP(-$B$200*1/32) * (BR297*$B$203 +BR299* $B$204)</f>
        <v>3.7901975268381398</v>
      </c>
    </row>
    <row r="299" spans="27:70" x14ac:dyDescent="0.2">
      <c r="AK299" s="36" t="s">
        <v>284</v>
      </c>
      <c r="AL299" s="22">
        <f>EXP(-$B$200*1/32) * (AN298*$B$203 +AN300* $B$204)</f>
        <v>3.3211157960975868</v>
      </c>
      <c r="AO299" s="36" t="s">
        <v>241</v>
      </c>
      <c r="AP299" s="22">
        <f t="shared" si="41"/>
        <v>3.3280122851319796</v>
      </c>
      <c r="AS299" s="36" t="s">
        <v>243</v>
      </c>
      <c r="AT299" s="22">
        <f t="shared" si="42"/>
        <v>3.33540089093571</v>
      </c>
      <c r="AW299" s="36" t="s">
        <v>285</v>
      </c>
      <c r="AX299" s="22">
        <f t="shared" si="43"/>
        <v>3.3431824273483124</v>
      </c>
      <c r="BA299" s="36" t="s">
        <v>244</v>
      </c>
      <c r="BB299" s="22">
        <f t="shared" si="44"/>
        <v>3.3512004537772961</v>
      </c>
      <c r="BE299" s="36" t="s">
        <v>245</v>
      </c>
      <c r="BF299" s="22">
        <f t="shared" si="45"/>
        <v>3.3592807293359144</v>
      </c>
      <c r="BI299" s="36" t="s">
        <v>246</v>
      </c>
      <c r="BJ299" s="22">
        <f t="shared" si="46"/>
        <v>3.3673804877198683</v>
      </c>
      <c r="BM299" s="36" t="s">
        <v>247</v>
      </c>
      <c r="BN299" s="22">
        <f t="shared" si="47"/>
        <v>3.3754997759053378</v>
      </c>
      <c r="BQ299" s="36" t="s">
        <v>248</v>
      </c>
      <c r="BR299" s="22">
        <f>MAX(BR226-$B$1,0)</f>
        <v>3.3836386409817703</v>
      </c>
    </row>
    <row r="300" spans="27:70" x14ac:dyDescent="0.2">
      <c r="AI300" s="36" t="s">
        <v>284</v>
      </c>
      <c r="AJ300" s="22">
        <f>EXP(-$B$200*1/32) * (AL299*$B$203 +AL301* $B$204)</f>
        <v>2.9319492171075576</v>
      </c>
      <c r="AM300" s="36" t="s">
        <v>241</v>
      </c>
      <c r="AN300" s="22">
        <f t="shared" si="41"/>
        <v>2.9364399600591575</v>
      </c>
      <c r="AQ300" s="36" t="s">
        <v>243</v>
      </c>
      <c r="AR300" s="22">
        <f t="shared" si="42"/>
        <v>2.9416790876009262</v>
      </c>
      <c r="AU300" s="36" t="s">
        <v>285</v>
      </c>
      <c r="AV300" s="22">
        <f t="shared" si="43"/>
        <v>2.9476535361474889</v>
      </c>
      <c r="AY300" s="36" t="s">
        <v>244</v>
      </c>
      <c r="AZ300" s="22">
        <f t="shared" si="44"/>
        <v>2.9542687428991856</v>
      </c>
      <c r="BC300" s="36" t="s">
        <v>245</v>
      </c>
      <c r="BD300" s="22">
        <f t="shared" si="45"/>
        <v>2.9613074655636824</v>
      </c>
      <c r="BG300" s="36" t="s">
        <v>246</v>
      </c>
      <c r="BH300" s="22">
        <f t="shared" si="46"/>
        <v>2.9684476473181274</v>
      </c>
      <c r="BK300" s="36" t="s">
        <v>247</v>
      </c>
      <c r="BL300" s="22">
        <f t="shared" si="47"/>
        <v>2.9756050451827134</v>
      </c>
      <c r="BO300" s="36" t="s">
        <v>248</v>
      </c>
      <c r="BP300" s="22">
        <f t="shared" ref="V300:BP323" si="48">EXP(-$B$200*1/32) * (BR299*$B$203 +BR301* $B$204)</f>
        <v>2.98277970066821</v>
      </c>
    </row>
    <row r="301" spans="27:70" x14ac:dyDescent="0.2">
      <c r="AG301" s="36" t="s">
        <v>284</v>
      </c>
      <c r="AH301" s="22">
        <f>EXP(-$B$200*1/32) * (AJ300*$B$203 +AJ302* $B$204)</f>
        <v>2.5615602222508813</v>
      </c>
      <c r="AK301" s="36" t="s">
        <v>241</v>
      </c>
      <c r="AL301" s="22">
        <f t="shared" si="41"/>
        <v>2.5628487642300235</v>
      </c>
      <c r="AO301" s="36" t="s">
        <v>243</v>
      </c>
      <c r="AP301" s="22">
        <f t="shared" si="42"/>
        <v>2.5650255056560876</v>
      </c>
      <c r="AS301" s="36" t="s">
        <v>285</v>
      </c>
      <c r="AT301" s="22">
        <f t="shared" si="43"/>
        <v>2.5682000328523631</v>
      </c>
      <c r="AW301" s="36" t="s">
        <v>244</v>
      </c>
      <c r="AX301" s="22">
        <f t="shared" si="44"/>
        <v>2.5724424703851638</v>
      </c>
      <c r="BA301" s="36" t="s">
        <v>245</v>
      </c>
      <c r="BB301" s="22">
        <f t="shared" si="45"/>
        <v>2.5777178231166786</v>
      </c>
      <c r="BE301" s="36" t="s">
        <v>246</v>
      </c>
      <c r="BF301" s="22">
        <f t="shared" si="46"/>
        <v>2.5837667824015274</v>
      </c>
      <c r="BI301" s="36" t="s">
        <v>247</v>
      </c>
      <c r="BJ301" s="22">
        <f t="shared" si="47"/>
        <v>2.5899966537174843</v>
      </c>
      <c r="BM301" s="36" t="s">
        <v>248</v>
      </c>
      <c r="BN301" s="22">
        <f t="shared" si="48"/>
        <v>2.5962415462408037</v>
      </c>
      <c r="BQ301" s="36" t="s">
        <v>258</v>
      </c>
      <c r="BR301" s="22">
        <f>MAX(BR228-$B$1,0)</f>
        <v>2.6025014961899959</v>
      </c>
    </row>
    <row r="302" spans="27:70" x14ac:dyDescent="0.2">
      <c r="AE302" s="36" t="s">
        <v>284</v>
      </c>
      <c r="AF302" s="22">
        <f>EXP(-$B$200*1/32) * (AH301*$B$203 +AH303* $B$204)</f>
        <v>2.2123547292734669</v>
      </c>
      <c r="AI302" s="36" t="s">
        <v>241</v>
      </c>
      <c r="AJ302" s="22">
        <f t="shared" si="41"/>
        <v>2.2097268156628647</v>
      </c>
      <c r="AM302" s="36" t="s">
        <v>243</v>
      </c>
      <c r="AN302" s="22">
        <f t="shared" si="42"/>
        <v>2.2079241660411562</v>
      </c>
      <c r="AQ302" s="36" t="s">
        <v>285</v>
      </c>
      <c r="AR302" s="22">
        <f t="shared" si="43"/>
        <v>2.2071469213275083</v>
      </c>
      <c r="AU302" s="36" t="s">
        <v>244</v>
      </c>
      <c r="AV302" s="22">
        <f t="shared" si="44"/>
        <v>2.2076234424425287</v>
      </c>
      <c r="AY302" s="36" t="s">
        <v>245</v>
      </c>
      <c r="AZ302" s="22">
        <f t="shared" si="45"/>
        <v>2.2095831552981777</v>
      </c>
      <c r="BC302" s="36" t="s">
        <v>246</v>
      </c>
      <c r="BD302" s="22">
        <f t="shared" si="46"/>
        <v>2.2131670848549874</v>
      </c>
      <c r="BG302" s="36" t="s">
        <v>247</v>
      </c>
      <c r="BH302" s="22">
        <f t="shared" si="47"/>
        <v>2.2181759408732509</v>
      </c>
      <c r="BK302" s="36" t="s">
        <v>248</v>
      </c>
      <c r="BL302" s="22">
        <f t="shared" si="48"/>
        <v>2.2235243147133033</v>
      </c>
      <c r="BO302" s="36" t="s">
        <v>258</v>
      </c>
      <c r="BP302" s="22">
        <f t="shared" ref="X302:BP324" si="49">EXP(-$B$200*1/32) * (BR301*$B$203 +BR303* $B$204)</f>
        <v>2.2288855843305595</v>
      </c>
    </row>
    <row r="303" spans="27:70" x14ac:dyDescent="0.2">
      <c r="AC303" s="36" t="s">
        <v>284</v>
      </c>
      <c r="AD303" s="22">
        <f>EXP(-$B$200*1/32) * (AF302*$B$203 +AF304* $B$204)</f>
        <v>1.887132886215537</v>
      </c>
      <c r="AG303" s="36" t="s">
        <v>241</v>
      </c>
      <c r="AH303" s="22">
        <f t="shared" si="41"/>
        <v>1.8801633609035278</v>
      </c>
      <c r="AK303" s="36" t="s">
        <v>243</v>
      </c>
      <c r="AL303" s="22">
        <f t="shared" si="42"/>
        <v>1.8737448025166668</v>
      </c>
      <c r="AO303" s="36" t="s">
        <v>285</v>
      </c>
      <c r="AP303" s="22">
        <f t="shared" si="43"/>
        <v>1.8680926495439232</v>
      </c>
      <c r="AS303" s="36" t="s">
        <v>244</v>
      </c>
      <c r="AT303" s="22">
        <f t="shared" si="44"/>
        <v>1.863495018759058</v>
      </c>
      <c r="AW303" s="36" t="s">
        <v>245</v>
      </c>
      <c r="AX303" s="22">
        <f t="shared" si="45"/>
        <v>1.8603337137771514</v>
      </c>
      <c r="BA303" s="36" t="s">
        <v>246</v>
      </c>
      <c r="BB303" s="22">
        <f t="shared" si="46"/>
        <v>1.8590942105886341</v>
      </c>
      <c r="BE303" s="36" t="s">
        <v>247</v>
      </c>
      <c r="BF303" s="22">
        <f t="shared" si="47"/>
        <v>1.8603047053007966</v>
      </c>
      <c r="BI303" s="36" t="s">
        <v>248</v>
      </c>
      <c r="BJ303" s="22">
        <f t="shared" si="48"/>
        <v>1.864145576871111</v>
      </c>
      <c r="BM303" s="36" t="s">
        <v>258</v>
      </c>
      <c r="BN303" s="22">
        <f t="shared" si="49"/>
        <v>1.8686403273792516</v>
      </c>
      <c r="BQ303" s="36" t="s">
        <v>286</v>
      </c>
      <c r="BR303" s="22">
        <f>MAX(BR230-$B$1,0)</f>
        <v>1.8731459154434198</v>
      </c>
    </row>
    <row r="304" spans="27:70" x14ac:dyDescent="0.2">
      <c r="AA304" s="36" t="s">
        <v>284</v>
      </c>
      <c r="AB304" s="22">
        <f>EXP(-$B$200*1/32) * (AD303*$B$203 +AD305* $B$204)</f>
        <v>1.5886583421550173</v>
      </c>
      <c r="AE304" s="36" t="s">
        <v>241</v>
      </c>
      <c r="AF304" s="22">
        <f t="shared" si="41"/>
        <v>1.5773461212847608</v>
      </c>
      <c r="AI304" s="36" t="s">
        <v>243</v>
      </c>
      <c r="AJ304" s="22">
        <f t="shared" si="42"/>
        <v>1.5661648428354329</v>
      </c>
      <c r="AM304" s="36" t="s">
        <v>285</v>
      </c>
      <c r="AN304" s="22">
        <f t="shared" si="43"/>
        <v>1.5552707869904066</v>
      </c>
      <c r="AQ304" s="36" t="s">
        <v>244</v>
      </c>
      <c r="AR304" s="22">
        <f t="shared" si="44"/>
        <v>1.5448946844697611</v>
      </c>
      <c r="AU304" s="36" t="s">
        <v>245</v>
      </c>
      <c r="AV304" s="22">
        <f t="shared" si="45"/>
        <v>1.5353830759082945</v>
      </c>
      <c r="AY304" s="36" t="s">
        <v>246</v>
      </c>
      <c r="AZ304" s="22">
        <f t="shared" si="46"/>
        <v>1.5272659099978816</v>
      </c>
      <c r="BC304" s="36" t="s">
        <v>247</v>
      </c>
      <c r="BD304" s="22">
        <f t="shared" si="47"/>
        <v>1.5213626513192799</v>
      </c>
      <c r="BG304" s="36" t="s">
        <v>248</v>
      </c>
      <c r="BH304" s="22">
        <f t="shared" si="48"/>
        <v>1.5189057077173764</v>
      </c>
      <c r="BK304" s="36" t="s">
        <v>258</v>
      </c>
      <c r="BL304" s="22">
        <f t="shared" si="49"/>
        <v>1.5212989992265478</v>
      </c>
      <c r="BO304" s="36" t="s">
        <v>286</v>
      </c>
      <c r="BP304" s="22">
        <f t="shared" ref="Z304:BP325" si="50">EXP(-$B$200*1/32) * (BR303*$B$203 +BR305* $B$204)</f>
        <v>1.5249670922846463</v>
      </c>
    </row>
    <row r="305" spans="5:70" x14ac:dyDescent="0.2">
      <c r="Y305" s="36" t="s">
        <v>284</v>
      </c>
      <c r="Z305" s="22">
        <f>EXP(-$B$200*1/32) * (AB304*$B$203 +AB306* $B$204)</f>
        <v>1.3192153901803503</v>
      </c>
      <c r="AC305" s="36" t="s">
        <v>241</v>
      </c>
      <c r="AD305" s="22">
        <f t="shared" si="41"/>
        <v>1.3040100247479056</v>
      </c>
      <c r="AG305" s="36" t="s">
        <v>243</v>
      </c>
      <c r="AH305" s="22">
        <f t="shared" si="42"/>
        <v>1.2884747151989882</v>
      </c>
      <c r="AK305" s="36" t="s">
        <v>285</v>
      </c>
      <c r="AL305" s="22">
        <f t="shared" si="43"/>
        <v>1.2726647941852027</v>
      </c>
      <c r="AO305" s="36" t="s">
        <v>244</v>
      </c>
      <c r="AP305" s="22">
        <f t="shared" si="44"/>
        <v>1.2566797482463377</v>
      </c>
      <c r="AS305" s="36" t="s">
        <v>245</v>
      </c>
      <c r="AT305" s="22">
        <f t="shared" si="45"/>
        <v>1.2406954033421975</v>
      </c>
      <c r="AW305" s="36" t="s">
        <v>246</v>
      </c>
      <c r="AX305" s="22">
        <f t="shared" si="46"/>
        <v>1.2250250469430979</v>
      </c>
      <c r="BA305" s="36" t="s">
        <v>247</v>
      </c>
      <c r="BB305" s="22">
        <f t="shared" si="47"/>
        <v>1.2102428566163632</v>
      </c>
      <c r="BE305" s="36" t="s">
        <v>248</v>
      </c>
      <c r="BF305" s="22">
        <f t="shared" si="48"/>
        <v>1.1974516871832721</v>
      </c>
      <c r="BI305" s="36" t="s">
        <v>258</v>
      </c>
      <c r="BJ305" s="22">
        <f t="shared" si="49"/>
        <v>1.1889034277117456</v>
      </c>
      <c r="BM305" s="36" t="s">
        <v>286</v>
      </c>
      <c r="BN305" s="22">
        <f t="shared" si="50"/>
        <v>1.1892717772174914</v>
      </c>
      <c r="BQ305" s="36" t="s">
        <v>287</v>
      </c>
      <c r="BR305" s="22">
        <f>MAX(BR232-$B$1,0)</f>
        <v>1.1921393000071721</v>
      </c>
    </row>
    <row r="306" spans="5:70" x14ac:dyDescent="0.2">
      <c r="W306" s="36" t="s">
        <v>284</v>
      </c>
      <c r="X306" s="22">
        <f>EXP(-$B$200*1/32) * (Z305*$B$203 +Z307* $B$204)</f>
        <v>1.0802554085370322</v>
      </c>
      <c r="AA306" s="36" t="s">
        <v>241</v>
      </c>
      <c r="AB306" s="22">
        <f t="shared" si="41"/>
        <v>1.0619815807451227</v>
      </c>
      <c r="AE306" s="36" t="s">
        <v>243</v>
      </c>
      <c r="AF306" s="22">
        <f t="shared" si="42"/>
        <v>1.0429782985914264</v>
      </c>
      <c r="AI306" s="36" t="s">
        <v>285</v>
      </c>
      <c r="AJ306" s="22">
        <f t="shared" si="43"/>
        <v>1.0231989421150693</v>
      </c>
      <c r="AM306" s="36" t="s">
        <v>244</v>
      </c>
      <c r="AN306" s="22">
        <f t="shared" si="44"/>
        <v>1.002601430796338</v>
      </c>
      <c r="AQ306" s="36" t="s">
        <v>245</v>
      </c>
      <c r="AR306" s="22">
        <f t="shared" si="45"/>
        <v>0.98115866735903789</v>
      </c>
      <c r="AU306" s="36" t="s">
        <v>246</v>
      </c>
      <c r="AV306" s="22">
        <f t="shared" si="46"/>
        <v>0.95888193498694041</v>
      </c>
      <c r="AY306" s="36" t="s">
        <v>247</v>
      </c>
      <c r="AZ306" s="22">
        <f t="shared" si="47"/>
        <v>0.93587590649494634</v>
      </c>
      <c r="BC306" s="36" t="s">
        <v>248</v>
      </c>
      <c r="BD306" s="22">
        <f t="shared" si="48"/>
        <v>0.91247910214388672</v>
      </c>
      <c r="BG306" s="36" t="s">
        <v>258</v>
      </c>
      <c r="BH306" s="22">
        <f t="shared" si="49"/>
        <v>0.88967180414834646</v>
      </c>
      <c r="BK306" s="36" t="s">
        <v>286</v>
      </c>
      <c r="BL306" s="22">
        <f t="shared" si="50"/>
        <v>0.87053061771274198</v>
      </c>
      <c r="BO306" s="36" t="s">
        <v>287</v>
      </c>
      <c r="BP306" s="22">
        <f t="shared" ref="AB306:BP326" si="51">EXP(-$B$200*1/32) * (BR305*$B$203 +BR307* $B$204)</f>
        <v>0.86771134150190965</v>
      </c>
    </row>
    <row r="307" spans="5:70" x14ac:dyDescent="0.2">
      <c r="U307" s="36" t="s">
        <v>284</v>
      </c>
      <c r="V307" s="22">
        <f>EXP(-$B$200*1/32) * (X306*$B$203 +X308* $B$204)</f>
        <v>0.87219510150823276</v>
      </c>
      <c r="Y307" s="36" t="s">
        <v>241</v>
      </c>
      <c r="Z307" s="22">
        <f t="shared" si="41"/>
        <v>0.85191077141338589</v>
      </c>
      <c r="AC307" s="36" t="s">
        <v>243</v>
      </c>
      <c r="AD307" s="22">
        <f t="shared" si="42"/>
        <v>0.83062863690441291</v>
      </c>
      <c r="AG307" s="36" t="s">
        <v>285</v>
      </c>
      <c r="AH307" s="22">
        <f t="shared" si="43"/>
        <v>0.80822927844868753</v>
      </c>
      <c r="AK307" s="36" t="s">
        <v>244</v>
      </c>
      <c r="AL307" s="22">
        <f t="shared" si="44"/>
        <v>0.78456745018323548</v>
      </c>
      <c r="AO307" s="36" t="s">
        <v>245</v>
      </c>
      <c r="AP307" s="22">
        <f t="shared" si="45"/>
        <v>0.75946417752656126</v>
      </c>
      <c r="AS307" s="36" t="s">
        <v>246</v>
      </c>
      <c r="AT307" s="22">
        <f t="shared" si="46"/>
        <v>0.73269621697886034</v>
      </c>
      <c r="AW307" s="36" t="s">
        <v>247</v>
      </c>
      <c r="AX307" s="22">
        <f t="shared" si="47"/>
        <v>0.70398305572376918</v>
      </c>
      <c r="BA307" s="36" t="s">
        <v>248</v>
      </c>
      <c r="BB307" s="22">
        <f t="shared" si="48"/>
        <v>0.67297593834873826</v>
      </c>
      <c r="BE307" s="36" t="s">
        <v>258</v>
      </c>
      <c r="BF307" s="22">
        <f t="shared" si="49"/>
        <v>0.63927562076448585</v>
      </c>
      <c r="BI307" s="36" t="s">
        <v>286</v>
      </c>
      <c r="BJ307" s="22">
        <f t="shared" si="50"/>
        <v>0.60263597074635211</v>
      </c>
      <c r="BM307" s="36" t="s">
        <v>287</v>
      </c>
      <c r="BN307" s="22">
        <f t="shared" si="51"/>
        <v>0.5645976317071898</v>
      </c>
      <c r="BQ307" s="36" t="s">
        <v>288</v>
      </c>
      <c r="BR307" s="22">
        <f>MAX(BR234-$B$1,0)</f>
        <v>0.55627659804058993</v>
      </c>
    </row>
    <row r="308" spans="5:70" x14ac:dyDescent="0.2">
      <c r="S308" s="36" t="s">
        <v>284</v>
      </c>
      <c r="T308" s="22">
        <f>EXP(-$B$200*1/32) * (V307*$B$203 +V309* $B$204)</f>
        <v>0.69438199838276549</v>
      </c>
      <c r="W308" s="36" t="s">
        <v>241</v>
      </c>
      <c r="X308" s="22">
        <f t="shared" si="41"/>
        <v>0.67321549653703328</v>
      </c>
      <c r="AA308" s="36" t="s">
        <v>243</v>
      </c>
      <c r="AB308" s="22">
        <f t="shared" si="42"/>
        <v>0.65094038942086441</v>
      </c>
      <c r="AE308" s="36" t="s">
        <v>285</v>
      </c>
      <c r="AF308" s="22">
        <f t="shared" si="43"/>
        <v>0.62740581091335601</v>
      </c>
      <c r="AI308" s="36" t="s">
        <v>244</v>
      </c>
      <c r="AJ308" s="22">
        <f t="shared" si="44"/>
        <v>0.60242171330729566</v>
      </c>
      <c r="AM308" s="36" t="s">
        <v>245</v>
      </c>
      <c r="AN308" s="22">
        <f t="shared" si="45"/>
        <v>0.57574281933859039</v>
      </c>
      <c r="AQ308" s="36" t="s">
        <v>246</v>
      </c>
      <c r="AR308" s="22">
        <f t="shared" si="46"/>
        <v>0.54704297339640184</v>
      </c>
      <c r="AU308" s="36" t="s">
        <v>247</v>
      </c>
      <c r="AV308" s="22">
        <f t="shared" si="47"/>
        <v>0.51587178307813886</v>
      </c>
      <c r="AY308" s="36" t="s">
        <v>248</v>
      </c>
      <c r="AZ308" s="22">
        <f t="shared" si="48"/>
        <v>0.48157587124848683</v>
      </c>
      <c r="BC308" s="36" t="s">
        <v>258</v>
      </c>
      <c r="BD308" s="22">
        <f t="shared" si="49"/>
        <v>0.44314155090782276</v>
      </c>
      <c r="BG308" s="36" t="s">
        <v>286</v>
      </c>
      <c r="BH308" s="22">
        <f t="shared" si="50"/>
        <v>0.3988356141776776</v>
      </c>
      <c r="BK308" s="36" t="s">
        <v>287</v>
      </c>
      <c r="BL308" s="22">
        <f t="shared" si="51"/>
        <v>0.34520062867827084</v>
      </c>
      <c r="BO308" s="36" t="s">
        <v>288</v>
      </c>
      <c r="BP308" s="22">
        <f t="shared" ref="AD308:BP327" si="52">EXP(-$B$200*1/32) * (BR307*$B$203 +BR309* $B$204)</f>
        <v>0.27304046084842176</v>
      </c>
    </row>
    <row r="309" spans="5:70" x14ac:dyDescent="0.2">
      <c r="Q309" s="36" t="s">
        <v>284</v>
      </c>
      <c r="R309" s="22">
        <f>EXP(-$B$200*1/32) * (T308*$B$203 +T310* $B$204)</f>
        <v>0.54520387034634965</v>
      </c>
      <c r="U309" s="36" t="s">
        <v>241</v>
      </c>
      <c r="V309" s="22">
        <f t="shared" si="41"/>
        <v>0.52420861004813246</v>
      </c>
      <c r="Y309" s="36" t="s">
        <v>243</v>
      </c>
      <c r="Z309" s="22">
        <f t="shared" si="42"/>
        <v>0.50213953206558593</v>
      </c>
      <c r="AC309" s="36" t="s">
        <v>285</v>
      </c>
      <c r="AD309" s="22">
        <f t="shared" si="43"/>
        <v>0.47885215703410344</v>
      </c>
      <c r="AG309" s="36" t="s">
        <v>244</v>
      </c>
      <c r="AH309" s="22">
        <f t="shared" si="44"/>
        <v>0.454164874997181</v>
      </c>
      <c r="AK309" s="36" t="s">
        <v>245</v>
      </c>
      <c r="AL309" s="22">
        <f t="shared" si="45"/>
        <v>0.42784389658095162</v>
      </c>
      <c r="AO309" s="36" t="s">
        <v>246</v>
      </c>
      <c r="AP309" s="22">
        <f t="shared" si="46"/>
        <v>0.39957929603648495</v>
      </c>
      <c r="AS309" s="36" t="s">
        <v>247</v>
      </c>
      <c r="AT309" s="22">
        <f t="shared" si="47"/>
        <v>0.36894470245577571</v>
      </c>
      <c r="AW309" s="36" t="s">
        <v>248</v>
      </c>
      <c r="AX309" s="22">
        <f t="shared" si="48"/>
        <v>0.33532450402941832</v>
      </c>
      <c r="BA309" s="36" t="s">
        <v>258</v>
      </c>
      <c r="BB309" s="22">
        <f t="shared" si="49"/>
        <v>0.29776942378978827</v>
      </c>
      <c r="BE309" s="36" t="s">
        <v>286</v>
      </c>
      <c r="BF309" s="22">
        <f t="shared" si="50"/>
        <v>0.25466964520080321</v>
      </c>
      <c r="BI309" s="36" t="s">
        <v>287</v>
      </c>
      <c r="BJ309" s="22">
        <f t="shared" si="51"/>
        <v>0.20285091280972145</v>
      </c>
      <c r="BM309" s="36" t="s">
        <v>288</v>
      </c>
      <c r="BN309" s="22">
        <f t="shared" si="52"/>
        <v>0.13401802902173993</v>
      </c>
      <c r="BQ309" s="36" t="s">
        <v>289</v>
      </c>
      <c r="BR309" s="22">
        <f>MAX(BR236-$B$1,0)</f>
        <v>0</v>
      </c>
    </row>
    <row r="310" spans="5:70" x14ac:dyDescent="0.2">
      <c r="O310" s="36" t="s">
        <v>284</v>
      </c>
      <c r="P310" s="22">
        <f>EXP(-$B$200*1/32) * (R309*$B$203 +R311* $B$204)</f>
        <v>0.42229616757263055</v>
      </c>
      <c r="S310" s="36" t="s">
        <v>241</v>
      </c>
      <c r="T310" s="22">
        <f t="shared" si="41"/>
        <v>0.40234666211372</v>
      </c>
      <c r="W310" s="36" t="s">
        <v>243</v>
      </c>
      <c r="X310" s="22">
        <f t="shared" si="42"/>
        <v>0.38146713064407684</v>
      </c>
      <c r="AA310" s="36" t="s">
        <v>285</v>
      </c>
      <c r="AB310" s="22">
        <f t="shared" si="43"/>
        <v>0.35954485230469146</v>
      </c>
      <c r="AE310" s="36" t="s">
        <v>244</v>
      </c>
      <c r="AF310" s="22">
        <f t="shared" si="44"/>
        <v>0.33644117688451269</v>
      </c>
      <c r="AI310" s="36" t="s">
        <v>245</v>
      </c>
      <c r="AJ310" s="22">
        <f t="shared" si="45"/>
        <v>0.3119822174636388</v>
      </c>
      <c r="AM310" s="36" t="s">
        <v>246</v>
      </c>
      <c r="AN310" s="22">
        <f t="shared" si="46"/>
        <v>0.285944731396515</v>
      </c>
      <c r="AQ310" s="36" t="s">
        <v>247</v>
      </c>
      <c r="AR310" s="22">
        <f t="shared" si="47"/>
        <v>0.25803374139305996</v>
      </c>
      <c r="AU310" s="36" t="s">
        <v>248</v>
      </c>
      <c r="AV310" s="22">
        <f t="shared" si="48"/>
        <v>0.22784507808654103</v>
      </c>
      <c r="AY310" s="36" t="s">
        <v>258</v>
      </c>
      <c r="AZ310" s="22">
        <f t="shared" si="49"/>
        <v>0.19479816336227787</v>
      </c>
      <c r="BC310" s="36" t="s">
        <v>286</v>
      </c>
      <c r="BD310" s="22">
        <f t="shared" si="50"/>
        <v>0.15800370989109341</v>
      </c>
      <c r="BG310" s="36" t="s">
        <v>287</v>
      </c>
      <c r="BH310" s="22">
        <f t="shared" si="51"/>
        <v>0.11596731875631457</v>
      </c>
      <c r="BK310" s="36" t="s">
        <v>288</v>
      </c>
      <c r="BL310" s="22">
        <f t="shared" si="52"/>
        <v>6.5780844520486173E-2</v>
      </c>
      <c r="BO310" s="36" t="s">
        <v>289</v>
      </c>
      <c r="BP310" s="22">
        <f t="shared" ref="AF310:BP328" si="53">EXP(-$B$200*1/32) * (BR309*$B$203 +BR311* $B$204)</f>
        <v>0</v>
      </c>
    </row>
    <row r="311" spans="5:70" x14ac:dyDescent="0.2">
      <c r="M311" s="36" t="s">
        <v>284</v>
      </c>
      <c r="N311" s="22">
        <f>EXP(-$B$200*1/32) * (P310*$B$203 +P312* $B$204)</f>
        <v>0.32279563203741757</v>
      </c>
      <c r="Q311" s="36" t="s">
        <v>241</v>
      </c>
      <c r="R311" s="22">
        <f t="shared" si="41"/>
        <v>0.30453254328056167</v>
      </c>
      <c r="U311" s="36" t="s">
        <v>243</v>
      </c>
      <c r="V311" s="22">
        <f t="shared" si="42"/>
        <v>0.28554627471363714</v>
      </c>
      <c r="Y311" s="36" t="s">
        <v>285</v>
      </c>
      <c r="Z311" s="22">
        <f t="shared" si="43"/>
        <v>0.26576672080758473</v>
      </c>
      <c r="AC311" s="36" t="s">
        <v>244</v>
      </c>
      <c r="AD311" s="22">
        <f t="shared" si="44"/>
        <v>0.24511158147999387</v>
      </c>
      <c r="AG311" s="36" t="s">
        <v>245</v>
      </c>
      <c r="AH311" s="22">
        <f t="shared" si="45"/>
        <v>0.22348338947681659</v>
      </c>
      <c r="AK311" s="36" t="s">
        <v>246</v>
      </c>
      <c r="AL311" s="22">
        <f t="shared" si="46"/>
        <v>0.20076572887052349</v>
      </c>
      <c r="AO311" s="36" t="s">
        <v>247</v>
      </c>
      <c r="AP311" s="22">
        <f t="shared" si="47"/>
        <v>0.17681858886574459</v>
      </c>
      <c r="AS311" s="36" t="s">
        <v>248</v>
      </c>
      <c r="AT311" s="22">
        <f t="shared" si="48"/>
        <v>0.15147325725332866</v>
      </c>
      <c r="AW311" s="36" t="s">
        <v>258</v>
      </c>
      <c r="AX311" s="22">
        <f t="shared" si="49"/>
        <v>0.12452892117808914</v>
      </c>
      <c r="BA311" s="36" t="s">
        <v>286</v>
      </c>
      <c r="BB311" s="22">
        <f t="shared" si="50"/>
        <v>9.5759895889793709E-2</v>
      </c>
      <c r="BE311" s="36" t="s">
        <v>287</v>
      </c>
      <c r="BF311" s="22">
        <f t="shared" si="51"/>
        <v>6.4971025062792689E-2</v>
      </c>
      <c r="BI311" s="36" t="s">
        <v>288</v>
      </c>
      <c r="BJ311" s="22">
        <f t="shared" si="52"/>
        <v>3.2287592478519783E-2</v>
      </c>
      <c r="BM311" s="36" t="s">
        <v>289</v>
      </c>
      <c r="BN311" s="22">
        <f t="shared" si="53"/>
        <v>0</v>
      </c>
      <c r="BQ311" s="36" t="s">
        <v>290</v>
      </c>
      <c r="BR311" s="22">
        <f>MAX(BR238-$B$1,0)</f>
        <v>0</v>
      </c>
    </row>
    <row r="312" spans="5:70" x14ac:dyDescent="0.2">
      <c r="K312" s="36" t="s">
        <v>284</v>
      </c>
      <c r="L312" s="22">
        <f>EXP(-$B$200*1/32) * (N311*$B$203 +N313* $B$204)</f>
        <v>0.24359464357748559</v>
      </c>
      <c r="O312" s="36" t="s">
        <v>241</v>
      </c>
      <c r="P312" s="22">
        <f t="shared" si="41"/>
        <v>0.22741431710834151</v>
      </c>
      <c r="S312" s="36" t="s">
        <v>243</v>
      </c>
      <c r="T312" s="22">
        <f t="shared" si="42"/>
        <v>0.21073752356080291</v>
      </c>
      <c r="W312" s="36" t="s">
        <v>285</v>
      </c>
      <c r="X312" s="22">
        <f t="shared" si="43"/>
        <v>0.19353570966354541</v>
      </c>
      <c r="AA312" s="36" t="s">
        <v>244</v>
      </c>
      <c r="AB312" s="22">
        <f t="shared" si="44"/>
        <v>0.17577978242872244</v>
      </c>
      <c r="AE312" s="36" t="s">
        <v>245</v>
      </c>
      <c r="AF312" s="22">
        <f t="shared" si="45"/>
        <v>0.15744169717872825</v>
      </c>
      <c r="AI312" s="36" t="s">
        <v>246</v>
      </c>
      <c r="AJ312" s="22">
        <f t="shared" si="46"/>
        <v>0.13849759905921952</v>
      </c>
      <c r="AM312" s="36" t="s">
        <v>247</v>
      </c>
      <c r="AN312" s="22">
        <f t="shared" si="47"/>
        <v>0.11893402158196852</v>
      </c>
      <c r="AQ312" s="36" t="s">
        <v>248</v>
      </c>
      <c r="AR312" s="22">
        <f t="shared" si="48"/>
        <v>9.8760364319442961E-2</v>
      </c>
      <c r="AU312" s="36" t="s">
        <v>258</v>
      </c>
      <c r="AV312" s="22">
        <f t="shared" si="49"/>
        <v>7.8035034492659819E-2</v>
      </c>
      <c r="AY312" s="36" t="s">
        <v>286</v>
      </c>
      <c r="AZ312" s="22">
        <f t="shared" si="50"/>
        <v>5.692370562960114E-2</v>
      </c>
      <c r="BC312" s="36" t="s">
        <v>287</v>
      </c>
      <c r="BD312" s="22">
        <f t="shared" si="51"/>
        <v>3.5841388671479985E-2</v>
      </c>
      <c r="BG312" s="36" t="s">
        <v>288</v>
      </c>
      <c r="BH312" s="22">
        <f t="shared" si="52"/>
        <v>1.584790580993992E-2</v>
      </c>
      <c r="BK312" s="36" t="s">
        <v>289</v>
      </c>
      <c r="BL312" s="22">
        <f t="shared" si="53"/>
        <v>0</v>
      </c>
      <c r="BO312" s="36" t="s">
        <v>290</v>
      </c>
      <c r="BP312" s="22">
        <f t="shared" ref="AH312:BP329" si="54">EXP(-$B$200*1/32) * (BR311*$B$203 +BR313* $B$204)</f>
        <v>0</v>
      </c>
    </row>
    <row r="313" spans="5:70" x14ac:dyDescent="0.2">
      <c r="I313" s="36" t="s">
        <v>284</v>
      </c>
      <c r="J313" s="22">
        <f>EXP(-$B$200*1/32) * (L312*$B$203 +L314* $B$204)</f>
        <v>0.1815638456257028</v>
      </c>
      <c r="M313" s="36" t="s">
        <v>241</v>
      </c>
      <c r="N313" s="22">
        <f t="shared" si="41"/>
        <v>0.16764087732096333</v>
      </c>
      <c r="Q313" s="36" t="s">
        <v>243</v>
      </c>
      <c r="R313" s="22">
        <f t="shared" si="42"/>
        <v>0.15343476378212131</v>
      </c>
      <c r="U313" s="36" t="s">
        <v>285</v>
      </c>
      <c r="V313" s="22">
        <f t="shared" si="43"/>
        <v>0.13895007649254232</v>
      </c>
      <c r="Y313" s="36" t="s">
        <v>244</v>
      </c>
      <c r="Z313" s="22">
        <f t="shared" si="44"/>
        <v>0.12419834593047753</v>
      </c>
      <c r="AC313" s="36" t="s">
        <v>245</v>
      </c>
      <c r="AD313" s="22">
        <f t="shared" si="45"/>
        <v>0.10920182349305377</v>
      </c>
      <c r="AG313" s="36" t="s">
        <v>246</v>
      </c>
      <c r="AH313" s="22">
        <f t="shared" si="46"/>
        <v>9.3999480175947892E-2</v>
      </c>
      <c r="AK313" s="36" t="s">
        <v>247</v>
      </c>
      <c r="AL313" s="22">
        <f t="shared" si="47"/>
        <v>7.8656845146243312E-2</v>
      </c>
      <c r="AO313" s="36" t="s">
        <v>248</v>
      </c>
      <c r="AP313" s="22">
        <f t="shared" si="48"/>
        <v>6.3282698095704859E-2</v>
      </c>
      <c r="AS313" s="36" t="s">
        <v>258</v>
      </c>
      <c r="AT313" s="22">
        <f t="shared" si="49"/>
        <v>4.805856791417399E-2</v>
      </c>
      <c r="AW313" s="36" t="s">
        <v>286</v>
      </c>
      <c r="AX313" s="22">
        <f t="shared" si="50"/>
        <v>3.3293481111246977E-2</v>
      </c>
      <c r="BA313" s="36" t="s">
        <v>287</v>
      </c>
      <c r="BB313" s="22">
        <f t="shared" si="51"/>
        <v>1.9531668016324253E-2</v>
      </c>
      <c r="BE313" s="36" t="s">
        <v>288</v>
      </c>
      <c r="BF313" s="22">
        <f t="shared" si="52"/>
        <v>7.7787192937291945E-3</v>
      </c>
      <c r="BI313" s="36" t="s">
        <v>289</v>
      </c>
      <c r="BJ313" s="22">
        <f t="shared" si="53"/>
        <v>0</v>
      </c>
      <c r="BM313" s="36" t="s">
        <v>290</v>
      </c>
      <c r="BN313" s="22">
        <f t="shared" si="54"/>
        <v>0</v>
      </c>
      <c r="BQ313" s="36" t="s">
        <v>291</v>
      </c>
      <c r="BR313" s="22">
        <f>MAX(BR240-$B$1,0)</f>
        <v>0</v>
      </c>
    </row>
    <row r="314" spans="5:70" x14ac:dyDescent="0.2">
      <c r="G314" s="36" t="s">
        <v>284</v>
      </c>
      <c r="H314" s="22">
        <f>EXP(-$B$200*1/32) * (J313*$B$203 +J315* $B$204)</f>
        <v>0.13372508687872747</v>
      </c>
      <c r="K314" s="36" t="s">
        <v>241</v>
      </c>
      <c r="L314" s="22">
        <f t="shared" si="41"/>
        <v>0.12205445003401047</v>
      </c>
      <c r="O314" s="36" t="s">
        <v>243</v>
      </c>
      <c r="P314" s="22">
        <f t="shared" si="42"/>
        <v>0.11027975221485317</v>
      </c>
      <c r="S314" s="36" t="s">
        <v>285</v>
      </c>
      <c r="T314" s="22">
        <f t="shared" si="43"/>
        <v>9.8427368430697243E-2</v>
      </c>
      <c r="W314" s="36" t="s">
        <v>244</v>
      </c>
      <c r="X314" s="22">
        <f t="shared" si="44"/>
        <v>8.6533889005657783E-2</v>
      </c>
      <c r="AA314" s="36" t="s">
        <v>245</v>
      </c>
      <c r="AB314" s="22">
        <f t="shared" si="45"/>
        <v>7.4650125650440768E-2</v>
      </c>
      <c r="AE314" s="36" t="s">
        <v>246</v>
      </c>
      <c r="AF314" s="22">
        <f t="shared" si="46"/>
        <v>6.2846982906676008E-2</v>
      </c>
      <c r="AI314" s="36" t="s">
        <v>247</v>
      </c>
      <c r="AJ314" s="22">
        <f t="shared" si="47"/>
        <v>5.1224231880176836E-2</v>
      </c>
      <c r="AM314" s="36" t="s">
        <v>248</v>
      </c>
      <c r="AN314" s="22">
        <f t="shared" si="48"/>
        <v>3.9923889434881059E-2</v>
      </c>
      <c r="AQ314" s="36" t="s">
        <v>258</v>
      </c>
      <c r="AR314" s="22">
        <f t="shared" si="49"/>
        <v>2.9151022660487427E-2</v>
      </c>
      <c r="AU314" s="36" t="s">
        <v>286</v>
      </c>
      <c r="AV314" s="22">
        <f t="shared" si="50"/>
        <v>1.9206561337954339E-2</v>
      </c>
      <c r="AY314" s="36" t="s">
        <v>287</v>
      </c>
      <c r="AZ314" s="22">
        <f t="shared" si="51"/>
        <v>1.0538784169830336E-2</v>
      </c>
      <c r="BC314" s="36" t="s">
        <v>288</v>
      </c>
      <c r="BD314" s="22">
        <f t="shared" si="52"/>
        <v>3.8180737932379349E-3</v>
      </c>
      <c r="BG314" s="36" t="s">
        <v>289</v>
      </c>
      <c r="BH314" s="22">
        <f t="shared" si="53"/>
        <v>0</v>
      </c>
      <c r="BK314" s="36" t="s">
        <v>290</v>
      </c>
      <c r="BL314" s="22">
        <f t="shared" si="54"/>
        <v>0</v>
      </c>
      <c r="BO314" s="36" t="s">
        <v>291</v>
      </c>
      <c r="BP314" s="22">
        <f t="shared" ref="AJ314:BP330" si="55">EXP(-$B$200*1/32) * (BR313*$B$203 +BR315* $B$204)</f>
        <v>0</v>
      </c>
    </row>
    <row r="315" spans="5:70" x14ac:dyDescent="0.2">
      <c r="E315" s="38" t="s">
        <v>242</v>
      </c>
      <c r="F315" s="22">
        <f>EXP(-$B$200*1/32) * (H314*$B$203 +H316* $B$204)</f>
        <v>9.7369298441958269E-2</v>
      </c>
      <c r="I315" s="36" t="s">
        <v>241</v>
      </c>
      <c r="J315" s="22">
        <f t="shared" si="41"/>
        <v>8.7815936081876378E-2</v>
      </c>
      <c r="M315" s="36" t="s">
        <v>243</v>
      </c>
      <c r="N315" s="22">
        <f t="shared" si="42"/>
        <v>7.8294048454905632E-2</v>
      </c>
      <c r="Q315" s="36" t="s">
        <v>285</v>
      </c>
      <c r="R315" s="22">
        <f t="shared" si="43"/>
        <v>6.8840900065545482E-2</v>
      </c>
      <c r="U315" s="36" t="s">
        <v>244</v>
      </c>
      <c r="V315" s="22">
        <f t="shared" si="44"/>
        <v>5.9503996865598582E-2</v>
      </c>
      <c r="Y315" s="36" t="s">
        <v>245</v>
      </c>
      <c r="Z315" s="22">
        <f t="shared" si="45"/>
        <v>5.0344230861075083E-2</v>
      </c>
      <c r="AC315" s="36" t="s">
        <v>246</v>
      </c>
      <c r="AD315" s="22">
        <f t="shared" si="46"/>
        <v>4.144013159174359E-2</v>
      </c>
      <c r="AG315" s="36" t="s">
        <v>247</v>
      </c>
      <c r="AH315" s="22">
        <f t="shared" si="47"/>
        <v>3.2893628539607971E-2</v>
      </c>
      <c r="AK315" s="36" t="s">
        <v>248</v>
      </c>
      <c r="AL315" s="22">
        <f t="shared" si="48"/>
        <v>2.4837816707547145E-2</v>
      </c>
      <c r="AO315" s="36" t="s">
        <v>258</v>
      </c>
      <c r="AP315" s="22">
        <f t="shared" si="49"/>
        <v>1.7447166047874284E-2</v>
      </c>
      <c r="AS315" s="36" t="s">
        <v>286</v>
      </c>
      <c r="AT315" s="22">
        <f t="shared" si="50"/>
        <v>1.0949974122021783E-2</v>
      </c>
      <c r="AW315" s="36" t="s">
        <v>287</v>
      </c>
      <c r="AX315" s="22">
        <f t="shared" si="51"/>
        <v>5.6400598785235805E-3</v>
      </c>
      <c r="BA315" s="36" t="s">
        <v>288</v>
      </c>
      <c r="BB315" s="22">
        <f t="shared" si="52"/>
        <v>1.8740472486726831E-3</v>
      </c>
      <c r="BE315" s="36" t="s">
        <v>289</v>
      </c>
      <c r="BF315" s="22">
        <f t="shared" si="53"/>
        <v>0</v>
      </c>
      <c r="BI315" s="36" t="s">
        <v>290</v>
      </c>
      <c r="BJ315" s="22">
        <f t="shared" si="54"/>
        <v>0</v>
      </c>
      <c r="BM315" s="36" t="s">
        <v>291</v>
      </c>
      <c r="BN315" s="22">
        <f t="shared" si="55"/>
        <v>0</v>
      </c>
      <c r="BQ315" s="36" t="s">
        <v>292</v>
      </c>
      <c r="BR315" s="22">
        <f>MAX(BR242-$B$1,0)</f>
        <v>0</v>
      </c>
    </row>
    <row r="316" spans="5:70" x14ac:dyDescent="0.2">
      <c r="G316" s="36" t="s">
        <v>241</v>
      </c>
      <c r="H316" s="22">
        <f t="shared" si="41"/>
        <v>6.2469859306977023E-2</v>
      </c>
      <c r="K316" s="36" t="s">
        <v>243</v>
      </c>
      <c r="L316" s="22">
        <f t="shared" si="42"/>
        <v>5.4939758411180872E-2</v>
      </c>
      <c r="O316" s="36" t="s">
        <v>285</v>
      </c>
      <c r="P316" s="22">
        <f t="shared" si="43"/>
        <v>4.7572173168959918E-2</v>
      </c>
      <c r="S316" s="36" t="s">
        <v>244</v>
      </c>
      <c r="T316" s="22">
        <f t="shared" si="44"/>
        <v>4.0414978742122021E-2</v>
      </c>
      <c r="W316" s="36" t="s">
        <v>245</v>
      </c>
      <c r="X316" s="22">
        <f t="shared" si="45"/>
        <v>3.3526341254274013E-2</v>
      </c>
      <c r="AA316" s="36" t="s">
        <v>246</v>
      </c>
      <c r="AB316" s="22">
        <f t="shared" si="46"/>
        <v>2.6977037425373673E-2</v>
      </c>
      <c r="AE316" s="36" t="s">
        <v>247</v>
      </c>
      <c r="AF316" s="22">
        <f t="shared" si="47"/>
        <v>2.0853150772953726E-2</v>
      </c>
      <c r="AI316" s="36" t="s">
        <v>248</v>
      </c>
      <c r="AJ316" s="22">
        <f t="shared" si="48"/>
        <v>1.525893786910505E-2</v>
      </c>
      <c r="AM316" s="36" t="s">
        <v>258</v>
      </c>
      <c r="AN316" s="22">
        <f t="shared" si="49"/>
        <v>1.0319187954542432E-2</v>
      </c>
      <c r="AQ316" s="36" t="s">
        <v>286</v>
      </c>
      <c r="AR316" s="22">
        <f t="shared" si="50"/>
        <v>6.1792187086501327E-3</v>
      </c>
      <c r="AU316" s="36" t="s">
        <v>287</v>
      </c>
      <c r="AV316" s="22">
        <f t="shared" si="51"/>
        <v>2.9976850006580595E-3</v>
      </c>
      <c r="AY316" s="36" t="s">
        <v>288</v>
      </c>
      <c r="AZ316" s="22">
        <f t="shared" si="52"/>
        <v>9.1984945300893216E-4</v>
      </c>
      <c r="BC316" s="36" t="s">
        <v>289</v>
      </c>
      <c r="BD316" s="22">
        <f t="shared" si="53"/>
        <v>0</v>
      </c>
      <c r="BG316" s="36" t="s">
        <v>290</v>
      </c>
      <c r="BH316" s="22">
        <f t="shared" si="54"/>
        <v>0</v>
      </c>
      <c r="BK316" s="36" t="s">
        <v>291</v>
      </c>
      <c r="BL316" s="22">
        <f t="shared" si="55"/>
        <v>0</v>
      </c>
      <c r="BO316" s="36" t="s">
        <v>292</v>
      </c>
      <c r="BP316" s="22">
        <f t="shared" ref="AL316:BP331" si="56">EXP(-$B$200*1/32) * (BR315*$B$203 +BR317* $B$204)</f>
        <v>0</v>
      </c>
    </row>
    <row r="317" spans="5:70" x14ac:dyDescent="0.2">
      <c r="I317" s="36" t="s">
        <v>243</v>
      </c>
      <c r="J317" s="22">
        <f t="shared" si="42"/>
        <v>3.8126278506245739E-2</v>
      </c>
      <c r="M317" s="36" t="s">
        <v>285</v>
      </c>
      <c r="N317" s="22">
        <f t="shared" si="43"/>
        <v>3.2502975208275844E-2</v>
      </c>
      <c r="Q317" s="36" t="s">
        <v>244</v>
      </c>
      <c r="R317" s="22">
        <f t="shared" si="44"/>
        <v>2.7133187482895463E-2</v>
      </c>
      <c r="U317" s="36" t="s">
        <v>245</v>
      </c>
      <c r="V317" s="22">
        <f t="shared" si="45"/>
        <v>2.206526067507443E-2</v>
      </c>
      <c r="Y317" s="36" t="s">
        <v>246</v>
      </c>
      <c r="Z317" s="22">
        <f t="shared" si="46"/>
        <v>1.735486472508177E-2</v>
      </c>
      <c r="AC317" s="36" t="s">
        <v>247</v>
      </c>
      <c r="AD317" s="22">
        <f t="shared" si="47"/>
        <v>1.3065452582290074E-2</v>
      </c>
      <c r="AG317" s="36" t="s">
        <v>248</v>
      </c>
      <c r="AH317" s="22">
        <f t="shared" si="48"/>
        <v>9.2679999585912939E-3</v>
      </c>
      <c r="AK317" s="36" t="s">
        <v>258</v>
      </c>
      <c r="AL317" s="22">
        <f t="shared" si="49"/>
        <v>6.0391442263471448E-3</v>
      </c>
      <c r="AO317" s="36" t="s">
        <v>286</v>
      </c>
      <c r="AP317" s="22">
        <f t="shared" si="50"/>
        <v>3.4559644510997285E-3</v>
      </c>
      <c r="AS317" s="36" t="s">
        <v>287</v>
      </c>
      <c r="AT317" s="22">
        <f t="shared" si="51"/>
        <v>1.5839402245850724E-3</v>
      </c>
      <c r="AW317" s="36" t="s">
        <v>288</v>
      </c>
      <c r="AX317" s="22">
        <f t="shared" si="52"/>
        <v>4.5149502863394119E-4</v>
      </c>
      <c r="BA317" s="36" t="s">
        <v>289</v>
      </c>
      <c r="BB317" s="22">
        <f t="shared" si="53"/>
        <v>0</v>
      </c>
      <c r="BE317" s="36" t="s">
        <v>290</v>
      </c>
      <c r="BF317" s="22">
        <f t="shared" si="54"/>
        <v>0</v>
      </c>
      <c r="BI317" s="36" t="s">
        <v>291</v>
      </c>
      <c r="BJ317" s="22">
        <f t="shared" si="55"/>
        <v>0</v>
      </c>
      <c r="BM317" s="36" t="s">
        <v>292</v>
      </c>
      <c r="BN317" s="22">
        <f t="shared" si="56"/>
        <v>0</v>
      </c>
      <c r="BQ317" s="36" t="s">
        <v>332</v>
      </c>
      <c r="BR317" s="22">
        <f>MAX(BR244-$B$1,0)</f>
        <v>0</v>
      </c>
    </row>
    <row r="318" spans="5:70" x14ac:dyDescent="0.2">
      <c r="K318" s="36" t="s">
        <v>285</v>
      </c>
      <c r="L318" s="22">
        <f t="shared" si="43"/>
        <v>2.1969960666299526E-2</v>
      </c>
      <c r="O318" s="36" t="s">
        <v>244</v>
      </c>
      <c r="P318" s="22">
        <f t="shared" si="44"/>
        <v>1.8018811747778096E-2</v>
      </c>
      <c r="S318" s="36" t="s">
        <v>245</v>
      </c>
      <c r="T318" s="22">
        <f t="shared" si="45"/>
        <v>1.436344988249039E-2</v>
      </c>
      <c r="W318" s="36" t="s">
        <v>246</v>
      </c>
      <c r="X318" s="22">
        <f t="shared" si="46"/>
        <v>1.1042845261787676E-2</v>
      </c>
      <c r="AA318" s="36" t="s">
        <v>247</v>
      </c>
      <c r="AB318" s="22">
        <f t="shared" si="47"/>
        <v>8.098202232316349E-3</v>
      </c>
      <c r="AE318" s="36" t="s">
        <v>248</v>
      </c>
      <c r="AF318" s="22">
        <f t="shared" si="48"/>
        <v>5.5712564515825874E-3</v>
      </c>
      <c r="AI318" s="36" t="s">
        <v>258</v>
      </c>
      <c r="AJ318" s="22">
        <f t="shared" si="49"/>
        <v>3.5009929259489981E-3</v>
      </c>
      <c r="AM318" s="36" t="s">
        <v>286</v>
      </c>
      <c r="AN318" s="22">
        <f t="shared" si="50"/>
        <v>1.9177020775475184E-3</v>
      </c>
      <c r="AQ318" s="36" t="s">
        <v>287</v>
      </c>
      <c r="AR318" s="22">
        <f t="shared" si="51"/>
        <v>8.3270751271851242E-4</v>
      </c>
      <c r="AU318" s="36" t="s">
        <v>288</v>
      </c>
      <c r="AV318" s="22">
        <f t="shared" si="52"/>
        <v>2.2160991694277163E-4</v>
      </c>
      <c r="AY318" s="36" t="s">
        <v>289</v>
      </c>
      <c r="AZ318" s="22">
        <f t="shared" si="53"/>
        <v>0</v>
      </c>
      <c r="BC318" s="36" t="s">
        <v>290</v>
      </c>
      <c r="BD318" s="22">
        <f t="shared" si="54"/>
        <v>0</v>
      </c>
      <c r="BG318" s="36" t="s">
        <v>291</v>
      </c>
      <c r="BH318" s="22">
        <f t="shared" si="55"/>
        <v>0</v>
      </c>
      <c r="BK318" s="36" t="s">
        <v>292</v>
      </c>
      <c r="BL318" s="22">
        <f t="shared" si="56"/>
        <v>0</v>
      </c>
      <c r="BO318" s="36" t="s">
        <v>332</v>
      </c>
      <c r="BP318" s="22">
        <f t="shared" ref="AN318:BP332" si="57">EXP(-$B$200*1/32) * (BR317*$B$203 +BR319* $B$204)</f>
        <v>0</v>
      </c>
    </row>
    <row r="319" spans="5:70" x14ac:dyDescent="0.2">
      <c r="M319" s="36" t="s">
        <v>244</v>
      </c>
      <c r="N319" s="22">
        <f t="shared" si="44"/>
        <v>1.1844097364524971E-2</v>
      </c>
      <c r="Q319" s="36" t="s">
        <v>245</v>
      </c>
      <c r="R319" s="22">
        <f t="shared" si="45"/>
        <v>9.2543996665525284E-3</v>
      </c>
      <c r="U319" s="36" t="s">
        <v>246</v>
      </c>
      <c r="V319" s="22">
        <f t="shared" si="46"/>
        <v>6.9553206727365055E-3</v>
      </c>
      <c r="Y319" s="36" t="s">
        <v>247</v>
      </c>
      <c r="Z319" s="22">
        <f t="shared" si="47"/>
        <v>4.9697861526337931E-3</v>
      </c>
      <c r="AC319" s="36" t="s">
        <v>248</v>
      </c>
      <c r="AD319" s="22">
        <f t="shared" si="48"/>
        <v>3.3175995402679962E-3</v>
      </c>
      <c r="AG319" s="36" t="s">
        <v>258</v>
      </c>
      <c r="AH319" s="22">
        <f t="shared" si="49"/>
        <v>2.0123410923634315E-3</v>
      </c>
      <c r="AK319" s="36" t="s">
        <v>286</v>
      </c>
      <c r="AL319" s="22">
        <f t="shared" si="50"/>
        <v>1.0567051929853037E-3</v>
      </c>
      <c r="AO319" s="36" t="s">
        <v>287</v>
      </c>
      <c r="AP319" s="22">
        <f t="shared" si="51"/>
        <v>4.3584278022131901E-4</v>
      </c>
      <c r="AS319" s="36" t="s">
        <v>288</v>
      </c>
      <c r="AT319" s="22">
        <f t="shared" si="52"/>
        <v>1.0877407761492729E-4</v>
      </c>
      <c r="AW319" s="36" t="s">
        <v>289</v>
      </c>
      <c r="AX319" s="22">
        <f t="shared" si="53"/>
        <v>0</v>
      </c>
      <c r="BA319" s="36" t="s">
        <v>290</v>
      </c>
      <c r="BB319" s="22">
        <f t="shared" si="54"/>
        <v>0</v>
      </c>
      <c r="BE319" s="36" t="s">
        <v>291</v>
      </c>
      <c r="BF319" s="22">
        <f t="shared" si="55"/>
        <v>0</v>
      </c>
      <c r="BI319" s="36" t="s">
        <v>292</v>
      </c>
      <c r="BJ319" s="22">
        <f t="shared" si="56"/>
        <v>0</v>
      </c>
      <c r="BM319" s="36" t="s">
        <v>332</v>
      </c>
      <c r="BN319" s="22">
        <f t="shared" si="57"/>
        <v>0</v>
      </c>
      <c r="BQ319" s="36" t="s">
        <v>333</v>
      </c>
      <c r="BR319" s="22">
        <f>MAX(BR246-$B$1,0)</f>
        <v>0</v>
      </c>
    </row>
    <row r="320" spans="5:70" x14ac:dyDescent="0.2">
      <c r="O320" s="36" t="s">
        <v>245</v>
      </c>
      <c r="P320" s="22">
        <f t="shared" si="45"/>
        <v>5.9056125667579359E-3</v>
      </c>
      <c r="S320" s="36" t="s">
        <v>246</v>
      </c>
      <c r="T320" s="22">
        <f t="shared" si="46"/>
        <v>4.339516780006214E-3</v>
      </c>
      <c r="W320" s="36" t="s">
        <v>247</v>
      </c>
      <c r="X320" s="22">
        <f t="shared" si="47"/>
        <v>3.0220777131055973E-3</v>
      </c>
      <c r="AA320" s="36" t="s">
        <v>248</v>
      </c>
      <c r="AB320" s="22">
        <f t="shared" si="48"/>
        <v>1.9586131024898093E-3</v>
      </c>
      <c r="AE320" s="36" t="s">
        <v>258</v>
      </c>
      <c r="AF320" s="22">
        <f t="shared" si="49"/>
        <v>1.1477804819905544E-3</v>
      </c>
      <c r="AI320" s="36" t="s">
        <v>286</v>
      </c>
      <c r="AJ320" s="22">
        <f t="shared" si="50"/>
        <v>5.7864400898646469E-4</v>
      </c>
      <c r="AM320" s="36" t="s">
        <v>287</v>
      </c>
      <c r="AN320" s="22">
        <f t="shared" si="51"/>
        <v>2.2723876570989349E-4</v>
      </c>
      <c r="AQ320" s="36" t="s">
        <v>288</v>
      </c>
      <c r="AR320" s="22">
        <f t="shared" si="52"/>
        <v>5.3390209807414262E-5</v>
      </c>
      <c r="AU320" s="36" t="s">
        <v>289</v>
      </c>
      <c r="AV320" s="22">
        <f t="shared" si="53"/>
        <v>0</v>
      </c>
      <c r="AY320" s="36" t="s">
        <v>290</v>
      </c>
      <c r="AZ320" s="22">
        <f t="shared" si="54"/>
        <v>0</v>
      </c>
      <c r="BC320" s="36" t="s">
        <v>291</v>
      </c>
      <c r="BD320" s="22">
        <f t="shared" si="55"/>
        <v>0</v>
      </c>
      <c r="BG320" s="36" t="s">
        <v>292</v>
      </c>
      <c r="BH320" s="22">
        <f t="shared" si="56"/>
        <v>0</v>
      </c>
      <c r="BK320" s="36" t="s">
        <v>332</v>
      </c>
      <c r="BL320" s="22">
        <f t="shared" si="57"/>
        <v>0</v>
      </c>
      <c r="BO320" s="36" t="s">
        <v>333</v>
      </c>
      <c r="BP320" s="22">
        <f t="shared" ref="AP320:BP333" si="58">EXP(-$B$200*1/32) * (BR319*$B$203 +BR321* $B$204)</f>
        <v>0</v>
      </c>
    </row>
    <row r="321" spans="17:70" x14ac:dyDescent="0.2">
      <c r="Q321" s="36" t="s">
        <v>246</v>
      </c>
      <c r="R321" s="22">
        <f t="shared" si="46"/>
        <v>2.6837149812308564E-3</v>
      </c>
      <c r="U321" s="36" t="s">
        <v>247</v>
      </c>
      <c r="V321" s="22">
        <f t="shared" si="47"/>
        <v>1.8221809146329797E-3</v>
      </c>
      <c r="Y321" s="36" t="s">
        <v>248</v>
      </c>
      <c r="Z321" s="22">
        <f t="shared" si="48"/>
        <v>1.1471924826191682E-3</v>
      </c>
      <c r="AC321" s="36" t="s">
        <v>258</v>
      </c>
      <c r="AD321" s="22">
        <f t="shared" si="49"/>
        <v>6.5008268261734087E-4</v>
      </c>
      <c r="AG321" s="36" t="s">
        <v>286</v>
      </c>
      <c r="AH321" s="22">
        <f t="shared" si="50"/>
        <v>3.1508623910639859E-4</v>
      </c>
      <c r="AK321" s="36" t="s">
        <v>287</v>
      </c>
      <c r="AL321" s="22">
        <f t="shared" si="51"/>
        <v>1.1807069448336327E-4</v>
      </c>
      <c r="AO321" s="36" t="s">
        <v>288</v>
      </c>
      <c r="AP321" s="22">
        <f t="shared" si="52"/>
        <v>2.6205825558648841E-5</v>
      </c>
      <c r="AS321" s="36" t="s">
        <v>289</v>
      </c>
      <c r="AT321" s="22">
        <f t="shared" si="53"/>
        <v>0</v>
      </c>
      <c r="AW321" s="36" t="s">
        <v>290</v>
      </c>
      <c r="AX321" s="22">
        <f t="shared" si="54"/>
        <v>0</v>
      </c>
      <c r="BA321" s="36" t="s">
        <v>291</v>
      </c>
      <c r="BB321" s="22">
        <f t="shared" si="55"/>
        <v>0</v>
      </c>
      <c r="BE321" s="36" t="s">
        <v>292</v>
      </c>
      <c r="BF321" s="22">
        <f t="shared" si="56"/>
        <v>0</v>
      </c>
      <c r="BI321" s="36" t="s">
        <v>332</v>
      </c>
      <c r="BJ321" s="22">
        <f t="shared" si="57"/>
        <v>0</v>
      </c>
      <c r="BM321" s="36" t="s">
        <v>333</v>
      </c>
      <c r="BN321" s="22">
        <f t="shared" si="58"/>
        <v>0</v>
      </c>
      <c r="BQ321" s="36" t="s">
        <v>334</v>
      </c>
      <c r="BR321" s="22">
        <f>MAX(BR248-$B$1,0)</f>
        <v>0</v>
      </c>
    </row>
    <row r="322" spans="17:70" x14ac:dyDescent="0.2">
      <c r="S322" s="36" t="s">
        <v>247</v>
      </c>
      <c r="T322" s="22">
        <f t="shared" si="47"/>
        <v>1.0900936498628644E-3</v>
      </c>
      <c r="W322" s="36" t="s">
        <v>248</v>
      </c>
      <c r="X322" s="22">
        <f t="shared" si="48"/>
        <v>6.6705348049113378E-4</v>
      </c>
      <c r="AA322" s="36" t="s">
        <v>258</v>
      </c>
      <c r="AB322" s="22">
        <f t="shared" si="49"/>
        <v>3.658453137505402E-4</v>
      </c>
      <c r="AE322" s="36" t="s">
        <v>286</v>
      </c>
      <c r="AF322" s="22">
        <f t="shared" si="50"/>
        <v>1.7070401193802713E-4</v>
      </c>
      <c r="AI322" s="36" t="s">
        <v>287</v>
      </c>
      <c r="AJ322" s="22">
        <f t="shared" si="51"/>
        <v>6.1160333350219556E-5</v>
      </c>
      <c r="AM322" s="36" t="s">
        <v>288</v>
      </c>
      <c r="AN322" s="22">
        <f t="shared" si="52"/>
        <v>1.2862756967757129E-5</v>
      </c>
      <c r="AQ322" s="36" t="s">
        <v>289</v>
      </c>
      <c r="AR322" s="22">
        <f t="shared" si="53"/>
        <v>0</v>
      </c>
      <c r="AU322" s="36" t="s">
        <v>290</v>
      </c>
      <c r="AV322" s="22">
        <f t="shared" si="54"/>
        <v>0</v>
      </c>
      <c r="AY322" s="36" t="s">
        <v>291</v>
      </c>
      <c r="AZ322" s="22">
        <f t="shared" si="55"/>
        <v>0</v>
      </c>
      <c r="BC322" s="36" t="s">
        <v>292</v>
      </c>
      <c r="BD322" s="22">
        <f t="shared" si="56"/>
        <v>0</v>
      </c>
      <c r="BG322" s="36" t="s">
        <v>332</v>
      </c>
      <c r="BH322" s="22">
        <f t="shared" si="57"/>
        <v>0</v>
      </c>
      <c r="BK322" s="36" t="s">
        <v>333</v>
      </c>
      <c r="BL322" s="22">
        <f t="shared" si="58"/>
        <v>0</v>
      </c>
      <c r="BO322" s="36" t="s">
        <v>334</v>
      </c>
      <c r="BP322" s="22">
        <f t="shared" ref="AR322:BP334" si="59">EXP(-$B$200*1/32) * (BR321*$B$203 +BR323* $B$204)</f>
        <v>0</v>
      </c>
    </row>
    <row r="323" spans="17:70" x14ac:dyDescent="0.2">
      <c r="U323" s="36" t="s">
        <v>248</v>
      </c>
      <c r="V323" s="22">
        <f t="shared" si="48"/>
        <v>3.8526997623348813E-4</v>
      </c>
      <c r="Y323" s="36" t="s">
        <v>258</v>
      </c>
      <c r="Z323" s="22">
        <f t="shared" si="49"/>
        <v>2.046818476822627E-4</v>
      </c>
      <c r="AC323" s="36" t="s">
        <v>286</v>
      </c>
      <c r="AD323" s="22">
        <f t="shared" si="50"/>
        <v>9.2057238830809963E-5</v>
      </c>
      <c r="AG323" s="36" t="s">
        <v>287</v>
      </c>
      <c r="AH323" s="22">
        <f t="shared" si="51"/>
        <v>3.159379616038303E-5</v>
      </c>
      <c r="AK323" s="36" t="s">
        <v>288</v>
      </c>
      <c r="AL323" s="22">
        <f t="shared" si="52"/>
        <v>6.313501417511348E-6</v>
      </c>
      <c r="AO323" s="36" t="s">
        <v>289</v>
      </c>
      <c r="AP323" s="22">
        <f t="shared" si="53"/>
        <v>0</v>
      </c>
      <c r="AS323" s="36" t="s">
        <v>290</v>
      </c>
      <c r="AT323" s="22">
        <f t="shared" si="54"/>
        <v>0</v>
      </c>
      <c r="AW323" s="36" t="s">
        <v>291</v>
      </c>
      <c r="AX323" s="22">
        <f t="shared" si="55"/>
        <v>0</v>
      </c>
      <c r="BA323" s="36" t="s">
        <v>292</v>
      </c>
      <c r="BB323" s="22">
        <f t="shared" si="56"/>
        <v>0</v>
      </c>
      <c r="BE323" s="36" t="s">
        <v>332</v>
      </c>
      <c r="BF323" s="22">
        <f t="shared" si="57"/>
        <v>0</v>
      </c>
      <c r="BI323" s="36" t="s">
        <v>333</v>
      </c>
      <c r="BJ323" s="22">
        <f t="shared" si="58"/>
        <v>0</v>
      </c>
      <c r="BM323" s="36" t="s">
        <v>334</v>
      </c>
      <c r="BN323" s="22">
        <f t="shared" si="59"/>
        <v>0</v>
      </c>
      <c r="BQ323" s="36" t="s">
        <v>335</v>
      </c>
      <c r="BR323" s="22">
        <f>MAX(BR250-$B$1,0)</f>
        <v>0</v>
      </c>
    </row>
    <row r="324" spans="17:70" x14ac:dyDescent="0.2">
      <c r="W324" s="36" t="s">
        <v>258</v>
      </c>
      <c r="X324" s="22">
        <f t="shared" si="49"/>
        <v>1.1389905681539291E-4</v>
      </c>
      <c r="AA324" s="36" t="s">
        <v>286</v>
      </c>
      <c r="AB324" s="22">
        <f t="shared" si="50"/>
        <v>4.9436640096578286E-5</v>
      </c>
      <c r="AE324" s="36" t="s">
        <v>287</v>
      </c>
      <c r="AF324" s="22">
        <f t="shared" si="51"/>
        <v>1.6279998168454936E-5</v>
      </c>
      <c r="AI324" s="36" t="s">
        <v>288</v>
      </c>
      <c r="AJ324" s="22">
        <f t="shared" si="52"/>
        <v>3.0988924263153685E-6</v>
      </c>
      <c r="AM324" s="36" t="s">
        <v>289</v>
      </c>
      <c r="AN324" s="22">
        <f t="shared" si="53"/>
        <v>0</v>
      </c>
      <c r="AQ324" s="36" t="s">
        <v>290</v>
      </c>
      <c r="AR324" s="22">
        <f t="shared" si="54"/>
        <v>0</v>
      </c>
      <c r="AU324" s="36" t="s">
        <v>291</v>
      </c>
      <c r="AV324" s="22">
        <f t="shared" si="55"/>
        <v>0</v>
      </c>
      <c r="AY324" s="36" t="s">
        <v>292</v>
      </c>
      <c r="AZ324" s="22">
        <f t="shared" si="56"/>
        <v>0</v>
      </c>
      <c r="BC324" s="36" t="s">
        <v>332</v>
      </c>
      <c r="BD324" s="22">
        <f t="shared" si="57"/>
        <v>0</v>
      </c>
      <c r="BG324" s="36" t="s">
        <v>333</v>
      </c>
      <c r="BH324" s="22">
        <f t="shared" si="58"/>
        <v>0</v>
      </c>
      <c r="BK324" s="36" t="s">
        <v>334</v>
      </c>
      <c r="BL324" s="22">
        <f t="shared" si="59"/>
        <v>0</v>
      </c>
      <c r="BO324" s="36" t="s">
        <v>335</v>
      </c>
      <c r="BP324" s="22">
        <f t="shared" ref="AT324:BP335" si="60">EXP(-$B$200*1/32) * (BR323*$B$203 +BR325* $B$204)</f>
        <v>0</v>
      </c>
    </row>
    <row r="325" spans="17:70" x14ac:dyDescent="0.2">
      <c r="Y325" s="36" t="s">
        <v>286</v>
      </c>
      <c r="Z325" s="22">
        <f t="shared" si="50"/>
        <v>2.644668855129659E-5</v>
      </c>
      <c r="AC325" s="36" t="s">
        <v>287</v>
      </c>
      <c r="AD325" s="22">
        <f t="shared" si="51"/>
        <v>8.3700413260669102E-6</v>
      </c>
      <c r="AG325" s="36" t="s">
        <v>288</v>
      </c>
      <c r="AH325" s="22">
        <f t="shared" si="52"/>
        <v>1.5210472976594514E-6</v>
      </c>
      <c r="AK325" s="36" t="s">
        <v>289</v>
      </c>
      <c r="AL325" s="22">
        <f t="shared" si="53"/>
        <v>0</v>
      </c>
      <c r="AO325" s="36" t="s">
        <v>290</v>
      </c>
      <c r="AP325" s="22">
        <f t="shared" si="54"/>
        <v>0</v>
      </c>
      <c r="AS325" s="36" t="s">
        <v>291</v>
      </c>
      <c r="AT325" s="22">
        <f t="shared" si="55"/>
        <v>0</v>
      </c>
      <c r="AW325" s="36" t="s">
        <v>292</v>
      </c>
      <c r="AX325" s="22">
        <f t="shared" si="56"/>
        <v>0</v>
      </c>
      <c r="BA325" s="36" t="s">
        <v>332</v>
      </c>
      <c r="BB325" s="22">
        <f t="shared" si="57"/>
        <v>0</v>
      </c>
      <c r="BE325" s="36" t="s">
        <v>333</v>
      </c>
      <c r="BF325" s="22">
        <f t="shared" si="58"/>
        <v>0</v>
      </c>
      <c r="BI325" s="36" t="s">
        <v>334</v>
      </c>
      <c r="BJ325" s="22">
        <f t="shared" si="59"/>
        <v>0</v>
      </c>
      <c r="BM325" s="36" t="s">
        <v>335</v>
      </c>
      <c r="BN325" s="22">
        <f t="shared" si="60"/>
        <v>0</v>
      </c>
      <c r="BQ325" s="36" t="s">
        <v>336</v>
      </c>
      <c r="BR325" s="22">
        <f>MAX(BR252-$B$1,0)</f>
        <v>0</v>
      </c>
    </row>
    <row r="326" spans="17:70" x14ac:dyDescent="0.2">
      <c r="AA326" s="36" t="s">
        <v>287</v>
      </c>
      <c r="AB326" s="22">
        <f t="shared" si="51"/>
        <v>4.2944582306356707E-6</v>
      </c>
      <c r="AE326" s="36" t="s">
        <v>288</v>
      </c>
      <c r="AF326" s="22">
        <f t="shared" si="52"/>
        <v>7.4658444483921894E-7</v>
      </c>
      <c r="AI326" s="36" t="s">
        <v>289</v>
      </c>
      <c r="AJ326" s="22">
        <f t="shared" si="53"/>
        <v>0</v>
      </c>
      <c r="AM326" s="36" t="s">
        <v>290</v>
      </c>
      <c r="AN326" s="22">
        <f t="shared" si="54"/>
        <v>0</v>
      </c>
      <c r="AQ326" s="36" t="s">
        <v>291</v>
      </c>
      <c r="AR326" s="22">
        <f t="shared" si="55"/>
        <v>0</v>
      </c>
      <c r="AU326" s="36" t="s">
        <v>292</v>
      </c>
      <c r="AV326" s="22">
        <f t="shared" si="56"/>
        <v>0</v>
      </c>
      <c r="AY326" s="36" t="s">
        <v>332</v>
      </c>
      <c r="AZ326" s="22">
        <f t="shared" si="57"/>
        <v>0</v>
      </c>
      <c r="BC326" s="36" t="s">
        <v>333</v>
      </c>
      <c r="BD326" s="22">
        <f t="shared" si="58"/>
        <v>0</v>
      </c>
      <c r="BG326" s="36" t="s">
        <v>334</v>
      </c>
      <c r="BH326" s="22">
        <f t="shared" si="59"/>
        <v>0</v>
      </c>
      <c r="BK326" s="36" t="s">
        <v>335</v>
      </c>
      <c r="BL326" s="22">
        <f t="shared" si="60"/>
        <v>0</v>
      </c>
      <c r="BO326" s="36" t="s">
        <v>336</v>
      </c>
      <c r="BP326" s="22">
        <f t="shared" ref="AV326:BP336" si="61">EXP(-$B$200*1/32) * (BR325*$B$203 +BR327* $B$204)</f>
        <v>0</v>
      </c>
    </row>
    <row r="327" spans="17:70" x14ac:dyDescent="0.2">
      <c r="AC327" s="36" t="s">
        <v>288</v>
      </c>
      <c r="AD327" s="22">
        <f t="shared" si="52"/>
        <v>3.6645036228234302E-7</v>
      </c>
      <c r="AG327" s="36" t="s">
        <v>289</v>
      </c>
      <c r="AH327" s="22">
        <f t="shared" si="53"/>
        <v>0</v>
      </c>
      <c r="AK327" s="36" t="s">
        <v>290</v>
      </c>
      <c r="AL327" s="22">
        <f t="shared" si="54"/>
        <v>0</v>
      </c>
      <c r="AO327" s="36" t="s">
        <v>291</v>
      </c>
      <c r="AP327" s="22">
        <f t="shared" si="55"/>
        <v>0</v>
      </c>
      <c r="AS327" s="36" t="s">
        <v>292</v>
      </c>
      <c r="AT327" s="22">
        <f t="shared" si="56"/>
        <v>0</v>
      </c>
      <c r="AW327" s="36" t="s">
        <v>332</v>
      </c>
      <c r="AX327" s="22">
        <f t="shared" si="57"/>
        <v>0</v>
      </c>
      <c r="BA327" s="36" t="s">
        <v>333</v>
      </c>
      <c r="BB327" s="22">
        <f t="shared" si="58"/>
        <v>0</v>
      </c>
      <c r="BE327" s="36" t="s">
        <v>334</v>
      </c>
      <c r="BF327" s="22">
        <f t="shared" si="59"/>
        <v>0</v>
      </c>
      <c r="BI327" s="36" t="s">
        <v>335</v>
      </c>
      <c r="BJ327" s="22">
        <f t="shared" si="60"/>
        <v>0</v>
      </c>
      <c r="BM327" s="36" t="s">
        <v>336</v>
      </c>
      <c r="BN327" s="22">
        <f t="shared" si="61"/>
        <v>0</v>
      </c>
      <c r="BQ327" s="36" t="s">
        <v>337</v>
      </c>
      <c r="BR327" s="22">
        <f>MAX(BR254-$B$1,0)</f>
        <v>0</v>
      </c>
    </row>
    <row r="328" spans="17:70" x14ac:dyDescent="0.2">
      <c r="AE328" s="36" t="s">
        <v>289</v>
      </c>
      <c r="AF328" s="22">
        <f t="shared" si="53"/>
        <v>0</v>
      </c>
      <c r="AI328" s="36" t="s">
        <v>290</v>
      </c>
      <c r="AJ328" s="22">
        <f t="shared" si="54"/>
        <v>0</v>
      </c>
      <c r="AM328" s="36" t="s">
        <v>291</v>
      </c>
      <c r="AN328" s="22">
        <f t="shared" si="55"/>
        <v>0</v>
      </c>
      <c r="AQ328" s="36" t="s">
        <v>292</v>
      </c>
      <c r="AR328" s="22">
        <f t="shared" si="56"/>
        <v>0</v>
      </c>
      <c r="AU328" s="36" t="s">
        <v>332</v>
      </c>
      <c r="AV328" s="22">
        <f t="shared" si="57"/>
        <v>0</v>
      </c>
      <c r="AY328" s="36" t="s">
        <v>333</v>
      </c>
      <c r="AZ328" s="22">
        <f t="shared" si="58"/>
        <v>0</v>
      </c>
      <c r="BC328" s="36" t="s">
        <v>334</v>
      </c>
      <c r="BD328" s="22">
        <f t="shared" si="59"/>
        <v>0</v>
      </c>
      <c r="BG328" s="36" t="s">
        <v>335</v>
      </c>
      <c r="BH328" s="22">
        <f t="shared" si="60"/>
        <v>0</v>
      </c>
      <c r="BK328" s="36" t="s">
        <v>336</v>
      </c>
      <c r="BL328" s="22">
        <f t="shared" si="61"/>
        <v>0</v>
      </c>
      <c r="BO328" s="36" t="s">
        <v>337</v>
      </c>
      <c r="BP328" s="22">
        <f t="shared" ref="AX328:BP337" si="62">EXP(-$B$200*1/32) * (BR327*$B$203 +BR329* $B$204)</f>
        <v>0</v>
      </c>
    </row>
    <row r="329" spans="17:70" x14ac:dyDescent="0.2">
      <c r="AG329" s="36" t="s">
        <v>290</v>
      </c>
      <c r="AH329" s="22">
        <f t="shared" si="54"/>
        <v>0</v>
      </c>
      <c r="AK329" s="36" t="s">
        <v>291</v>
      </c>
      <c r="AL329" s="22">
        <f t="shared" si="55"/>
        <v>0</v>
      </c>
      <c r="AO329" s="36" t="s">
        <v>292</v>
      </c>
      <c r="AP329" s="22">
        <f t="shared" si="56"/>
        <v>0</v>
      </c>
      <c r="AS329" s="36" t="s">
        <v>332</v>
      </c>
      <c r="AT329" s="22">
        <f t="shared" si="57"/>
        <v>0</v>
      </c>
      <c r="AW329" s="36" t="s">
        <v>333</v>
      </c>
      <c r="AX329" s="22">
        <f t="shared" si="58"/>
        <v>0</v>
      </c>
      <c r="BA329" s="36" t="s">
        <v>334</v>
      </c>
      <c r="BB329" s="22">
        <f t="shared" si="59"/>
        <v>0</v>
      </c>
      <c r="BE329" s="36" t="s">
        <v>335</v>
      </c>
      <c r="BF329" s="22">
        <f t="shared" si="60"/>
        <v>0</v>
      </c>
      <c r="BI329" s="36" t="s">
        <v>336</v>
      </c>
      <c r="BJ329" s="22">
        <f t="shared" si="61"/>
        <v>0</v>
      </c>
      <c r="BM329" s="36" t="s">
        <v>337</v>
      </c>
      <c r="BN329" s="22">
        <f t="shared" si="62"/>
        <v>0</v>
      </c>
      <c r="BQ329" s="36" t="s">
        <v>338</v>
      </c>
      <c r="BR329" s="22">
        <f>MAX(BR256-$B$1,0)</f>
        <v>0</v>
      </c>
    </row>
    <row r="330" spans="17:70" x14ac:dyDescent="0.2">
      <c r="AI330" s="36" t="s">
        <v>291</v>
      </c>
      <c r="AJ330" s="22">
        <f t="shared" si="55"/>
        <v>0</v>
      </c>
      <c r="AM330" s="36" t="s">
        <v>292</v>
      </c>
      <c r="AN330" s="22">
        <f t="shared" si="56"/>
        <v>0</v>
      </c>
      <c r="AQ330" s="36" t="s">
        <v>332</v>
      </c>
      <c r="AR330" s="22">
        <f t="shared" si="57"/>
        <v>0</v>
      </c>
      <c r="AU330" s="36" t="s">
        <v>333</v>
      </c>
      <c r="AV330" s="22">
        <f t="shared" si="58"/>
        <v>0</v>
      </c>
      <c r="AY330" s="36" t="s">
        <v>334</v>
      </c>
      <c r="AZ330" s="22">
        <f t="shared" si="59"/>
        <v>0</v>
      </c>
      <c r="BC330" s="36" t="s">
        <v>335</v>
      </c>
      <c r="BD330" s="22">
        <f t="shared" si="60"/>
        <v>0</v>
      </c>
      <c r="BG330" s="36" t="s">
        <v>336</v>
      </c>
      <c r="BH330" s="22">
        <f t="shared" si="61"/>
        <v>0</v>
      </c>
      <c r="BK330" s="36" t="s">
        <v>337</v>
      </c>
      <c r="BL330" s="22">
        <f t="shared" si="62"/>
        <v>0</v>
      </c>
      <c r="BO330" s="36" t="s">
        <v>338</v>
      </c>
      <c r="BP330" s="22">
        <f t="shared" ref="AZ330:BP338" si="63">EXP(-$B$200*1/32) * (BR329*$B$203 +BR331* $B$204)</f>
        <v>0</v>
      </c>
    </row>
    <row r="331" spans="17:70" x14ac:dyDescent="0.2">
      <c r="AK331" s="36" t="s">
        <v>292</v>
      </c>
      <c r="AL331" s="22">
        <f t="shared" si="56"/>
        <v>0</v>
      </c>
      <c r="AO331" s="36" t="s">
        <v>332</v>
      </c>
      <c r="AP331" s="22">
        <f t="shared" si="57"/>
        <v>0</v>
      </c>
      <c r="AS331" s="36" t="s">
        <v>333</v>
      </c>
      <c r="AT331" s="22">
        <f t="shared" si="58"/>
        <v>0</v>
      </c>
      <c r="AW331" s="36" t="s">
        <v>334</v>
      </c>
      <c r="AX331" s="22">
        <f t="shared" si="59"/>
        <v>0</v>
      </c>
      <c r="BA331" s="36" t="s">
        <v>335</v>
      </c>
      <c r="BB331" s="22">
        <f t="shared" si="60"/>
        <v>0</v>
      </c>
      <c r="BE331" s="36" t="s">
        <v>336</v>
      </c>
      <c r="BF331" s="22">
        <f t="shared" si="61"/>
        <v>0</v>
      </c>
      <c r="BI331" s="36" t="s">
        <v>337</v>
      </c>
      <c r="BJ331" s="22">
        <f t="shared" si="62"/>
        <v>0</v>
      </c>
      <c r="BM331" s="36" t="s">
        <v>338</v>
      </c>
      <c r="BN331" s="22">
        <f t="shared" si="63"/>
        <v>0</v>
      </c>
      <c r="BQ331" s="36" t="s">
        <v>339</v>
      </c>
      <c r="BR331" s="22">
        <f>MAX(BR258-$B$1,0)</f>
        <v>0</v>
      </c>
    </row>
    <row r="332" spans="17:70" x14ac:dyDescent="0.2">
      <c r="AM332" s="36" t="s">
        <v>332</v>
      </c>
      <c r="AN332" s="22">
        <f t="shared" si="57"/>
        <v>0</v>
      </c>
      <c r="AQ332" s="36" t="s">
        <v>333</v>
      </c>
      <c r="AR332" s="22">
        <f t="shared" si="58"/>
        <v>0</v>
      </c>
      <c r="AU332" s="36" t="s">
        <v>334</v>
      </c>
      <c r="AV332" s="22">
        <f t="shared" si="59"/>
        <v>0</v>
      </c>
      <c r="AY332" s="36" t="s">
        <v>335</v>
      </c>
      <c r="AZ332" s="22">
        <f t="shared" si="60"/>
        <v>0</v>
      </c>
      <c r="BC332" s="36" t="s">
        <v>336</v>
      </c>
      <c r="BD332" s="22">
        <f t="shared" si="61"/>
        <v>0</v>
      </c>
      <c r="BG332" s="36" t="s">
        <v>337</v>
      </c>
      <c r="BH332" s="22">
        <f t="shared" si="62"/>
        <v>0</v>
      </c>
      <c r="BK332" s="36" t="s">
        <v>338</v>
      </c>
      <c r="BL332" s="22">
        <f t="shared" si="63"/>
        <v>0</v>
      </c>
      <c r="BO332" s="36" t="s">
        <v>339</v>
      </c>
      <c r="BP332" s="22">
        <f t="shared" ref="BB332:BP339" si="64">EXP(-$B$200*1/32) * (BR331*$B$203 +BR333* $B$204)</f>
        <v>0</v>
      </c>
    </row>
    <row r="333" spans="17:70" x14ac:dyDescent="0.2">
      <c r="AO333" s="36" t="s">
        <v>333</v>
      </c>
      <c r="AP333" s="22">
        <f t="shared" si="58"/>
        <v>0</v>
      </c>
      <c r="AS333" s="36" t="s">
        <v>334</v>
      </c>
      <c r="AT333" s="22">
        <f t="shared" si="59"/>
        <v>0</v>
      </c>
      <c r="AW333" s="36" t="s">
        <v>335</v>
      </c>
      <c r="AX333" s="22">
        <f t="shared" si="60"/>
        <v>0</v>
      </c>
      <c r="BA333" s="36" t="s">
        <v>336</v>
      </c>
      <c r="BB333" s="22">
        <f t="shared" si="61"/>
        <v>0</v>
      </c>
      <c r="BE333" s="36" t="s">
        <v>337</v>
      </c>
      <c r="BF333" s="22">
        <f t="shared" si="62"/>
        <v>0</v>
      </c>
      <c r="BI333" s="36" t="s">
        <v>338</v>
      </c>
      <c r="BJ333" s="22">
        <f t="shared" si="63"/>
        <v>0</v>
      </c>
      <c r="BM333" s="36" t="s">
        <v>339</v>
      </c>
      <c r="BN333" s="22">
        <f t="shared" si="64"/>
        <v>0</v>
      </c>
      <c r="BQ333" s="36" t="s">
        <v>340</v>
      </c>
      <c r="BR333" s="22">
        <f>MAX(BR260-$B$1,0)</f>
        <v>0</v>
      </c>
    </row>
    <row r="334" spans="17:70" x14ac:dyDescent="0.2">
      <c r="AQ334" s="36" t="s">
        <v>334</v>
      </c>
      <c r="AR334" s="22">
        <f t="shared" si="59"/>
        <v>0</v>
      </c>
      <c r="AU334" s="36" t="s">
        <v>335</v>
      </c>
      <c r="AV334" s="22">
        <f t="shared" si="60"/>
        <v>0</v>
      </c>
      <c r="AY334" s="36" t="s">
        <v>336</v>
      </c>
      <c r="AZ334" s="22">
        <f t="shared" si="61"/>
        <v>0</v>
      </c>
      <c r="BC334" s="36" t="s">
        <v>337</v>
      </c>
      <c r="BD334" s="22">
        <f t="shared" si="62"/>
        <v>0</v>
      </c>
      <c r="BG334" s="36" t="s">
        <v>338</v>
      </c>
      <c r="BH334" s="22">
        <f t="shared" si="63"/>
        <v>0</v>
      </c>
      <c r="BK334" s="36" t="s">
        <v>339</v>
      </c>
      <c r="BL334" s="22">
        <f t="shared" si="64"/>
        <v>0</v>
      </c>
      <c r="BO334" s="36" t="s">
        <v>340</v>
      </c>
      <c r="BP334" s="22">
        <f t="shared" ref="BD334:BP340" si="65">EXP(-$B$200*1/32) * (BR333*$B$203 +BR335* $B$204)</f>
        <v>0</v>
      </c>
    </row>
    <row r="335" spans="17:70" x14ac:dyDescent="0.2">
      <c r="AS335" s="36" t="s">
        <v>335</v>
      </c>
      <c r="AT335" s="22">
        <f t="shared" si="60"/>
        <v>0</v>
      </c>
      <c r="AW335" s="36" t="s">
        <v>336</v>
      </c>
      <c r="AX335" s="22">
        <f t="shared" si="61"/>
        <v>0</v>
      </c>
      <c r="BA335" s="36" t="s">
        <v>337</v>
      </c>
      <c r="BB335" s="22">
        <f t="shared" si="62"/>
        <v>0</v>
      </c>
      <c r="BE335" s="36" t="s">
        <v>338</v>
      </c>
      <c r="BF335" s="22">
        <f t="shared" si="63"/>
        <v>0</v>
      </c>
      <c r="BI335" s="36" t="s">
        <v>339</v>
      </c>
      <c r="BJ335" s="22">
        <f t="shared" si="64"/>
        <v>0</v>
      </c>
      <c r="BM335" s="36" t="s">
        <v>340</v>
      </c>
      <c r="BN335" s="22">
        <f t="shared" si="65"/>
        <v>0</v>
      </c>
      <c r="BQ335" s="36" t="s">
        <v>341</v>
      </c>
      <c r="BR335" s="22">
        <f>MAX(BR262-$B$1,0)</f>
        <v>0</v>
      </c>
    </row>
    <row r="336" spans="17:70" x14ac:dyDescent="0.2">
      <c r="AU336" s="36" t="s">
        <v>336</v>
      </c>
      <c r="AV336" s="22">
        <f t="shared" si="61"/>
        <v>0</v>
      </c>
      <c r="AY336" s="36" t="s">
        <v>337</v>
      </c>
      <c r="AZ336" s="22">
        <f t="shared" si="62"/>
        <v>0</v>
      </c>
      <c r="BC336" s="36" t="s">
        <v>338</v>
      </c>
      <c r="BD336" s="22">
        <f t="shared" si="63"/>
        <v>0</v>
      </c>
      <c r="BG336" s="36" t="s">
        <v>339</v>
      </c>
      <c r="BH336" s="22">
        <f t="shared" si="64"/>
        <v>0</v>
      </c>
      <c r="BK336" s="36" t="s">
        <v>340</v>
      </c>
      <c r="BL336" s="22">
        <f t="shared" si="65"/>
        <v>0</v>
      </c>
      <c r="BO336" s="36" t="s">
        <v>341</v>
      </c>
      <c r="BP336" s="22">
        <f t="shared" ref="BF336:BP341" si="66">EXP(-$B$200*1/32) * (BR335*$B$203 +BR337* $B$204)</f>
        <v>0</v>
      </c>
    </row>
    <row r="337" spans="5:70" x14ac:dyDescent="0.2">
      <c r="AW337" s="36" t="s">
        <v>337</v>
      </c>
      <c r="AX337" s="22">
        <f t="shared" si="62"/>
        <v>0</v>
      </c>
      <c r="BA337" s="36" t="s">
        <v>338</v>
      </c>
      <c r="BB337" s="22">
        <f t="shared" si="63"/>
        <v>0</v>
      </c>
      <c r="BE337" s="36" t="s">
        <v>339</v>
      </c>
      <c r="BF337" s="22">
        <f t="shared" si="64"/>
        <v>0</v>
      </c>
      <c r="BI337" s="36" t="s">
        <v>340</v>
      </c>
      <c r="BJ337" s="22">
        <f t="shared" si="65"/>
        <v>0</v>
      </c>
      <c r="BM337" s="36" t="s">
        <v>341</v>
      </c>
      <c r="BN337" s="22">
        <f t="shared" si="66"/>
        <v>0</v>
      </c>
      <c r="BQ337" s="36" t="s">
        <v>342</v>
      </c>
      <c r="BR337" s="22">
        <f>MAX(BR264-$B$1,0)</f>
        <v>0</v>
      </c>
    </row>
    <row r="338" spans="5:70" x14ac:dyDescent="0.2">
      <c r="AY338" s="36" t="s">
        <v>338</v>
      </c>
      <c r="AZ338" s="22">
        <f t="shared" si="63"/>
        <v>0</v>
      </c>
      <c r="BC338" s="36" t="s">
        <v>339</v>
      </c>
      <c r="BD338" s="22">
        <f t="shared" si="64"/>
        <v>0</v>
      </c>
      <c r="BG338" s="36" t="s">
        <v>340</v>
      </c>
      <c r="BH338" s="22">
        <f t="shared" si="65"/>
        <v>0</v>
      </c>
      <c r="BK338" s="36" t="s">
        <v>341</v>
      </c>
      <c r="BL338" s="22">
        <f t="shared" si="66"/>
        <v>0</v>
      </c>
      <c r="BO338" s="36" t="s">
        <v>342</v>
      </c>
      <c r="BP338" s="22">
        <f t="shared" ref="BH338:BP342" si="67">EXP(-$B$200*1/32) * (BR337*$B$203 +BR339* $B$204)</f>
        <v>0</v>
      </c>
    </row>
    <row r="339" spans="5:70" x14ac:dyDescent="0.2">
      <c r="BA339" s="36" t="s">
        <v>339</v>
      </c>
      <c r="BB339" s="22">
        <f t="shared" si="64"/>
        <v>0</v>
      </c>
      <c r="BE339" s="36" t="s">
        <v>340</v>
      </c>
      <c r="BF339" s="22">
        <f t="shared" si="65"/>
        <v>0</v>
      </c>
      <c r="BI339" s="36" t="s">
        <v>341</v>
      </c>
      <c r="BJ339" s="22">
        <f t="shared" si="66"/>
        <v>0</v>
      </c>
      <c r="BM339" s="36" t="s">
        <v>342</v>
      </c>
      <c r="BN339" s="22">
        <f t="shared" si="67"/>
        <v>0</v>
      </c>
      <c r="BQ339" s="36" t="s">
        <v>343</v>
      </c>
      <c r="BR339" s="22">
        <f>MAX(BR266-$B$1,0)</f>
        <v>0</v>
      </c>
    </row>
    <row r="340" spans="5:70" x14ac:dyDescent="0.2">
      <c r="BC340" s="36" t="s">
        <v>340</v>
      </c>
      <c r="BD340" s="22">
        <f t="shared" si="65"/>
        <v>0</v>
      </c>
      <c r="BG340" s="36" t="s">
        <v>341</v>
      </c>
      <c r="BH340" s="22">
        <f t="shared" si="66"/>
        <v>0</v>
      </c>
      <c r="BK340" s="36" t="s">
        <v>342</v>
      </c>
      <c r="BL340" s="22">
        <f t="shared" si="67"/>
        <v>0</v>
      </c>
      <c r="BO340" s="36" t="s">
        <v>343</v>
      </c>
      <c r="BP340" s="22">
        <f t="shared" ref="BJ340:BP343" si="68">EXP(-$B$200*1/32) * (BR339*$B$203 +BR341* $B$204)</f>
        <v>0</v>
      </c>
    </row>
    <row r="341" spans="5:70" x14ac:dyDescent="0.2">
      <c r="BE341" s="36" t="s">
        <v>341</v>
      </c>
      <c r="BF341" s="22">
        <f t="shared" si="66"/>
        <v>0</v>
      </c>
      <c r="BI341" s="36" t="s">
        <v>342</v>
      </c>
      <c r="BJ341" s="22">
        <f t="shared" si="67"/>
        <v>0</v>
      </c>
      <c r="BM341" s="36" t="s">
        <v>343</v>
      </c>
      <c r="BN341" s="22">
        <f t="shared" si="68"/>
        <v>0</v>
      </c>
      <c r="BQ341" s="36" t="s">
        <v>344</v>
      </c>
      <c r="BR341" s="22">
        <f>MAX(BR268-$B$1,0)</f>
        <v>0</v>
      </c>
    </row>
    <row r="342" spans="5:70" x14ac:dyDescent="0.2">
      <c r="BG342" s="36" t="s">
        <v>342</v>
      </c>
      <c r="BH342" s="22">
        <f t="shared" si="67"/>
        <v>0</v>
      </c>
      <c r="BK342" s="36" t="s">
        <v>343</v>
      </c>
      <c r="BL342" s="22">
        <f t="shared" si="68"/>
        <v>0</v>
      </c>
      <c r="BO342" s="36" t="s">
        <v>344</v>
      </c>
      <c r="BP342" s="22">
        <f t="shared" ref="BL342:BP344" si="69">EXP(-$B$200*1/32) * (BR341*$B$203 +BR343* $B$204)</f>
        <v>0</v>
      </c>
    </row>
    <row r="343" spans="5:70" x14ac:dyDescent="0.2">
      <c r="BI343" s="36" t="s">
        <v>343</v>
      </c>
      <c r="BJ343" s="22">
        <f t="shared" si="68"/>
        <v>0</v>
      </c>
      <c r="BM343" s="36" t="s">
        <v>344</v>
      </c>
      <c r="BN343" s="22">
        <f t="shared" si="69"/>
        <v>0</v>
      </c>
      <c r="BQ343" s="36" t="s">
        <v>345</v>
      </c>
      <c r="BR343" s="22">
        <f>MAX(BR270-$B$1,0)</f>
        <v>0</v>
      </c>
    </row>
    <row r="344" spans="5:70" x14ac:dyDescent="0.2">
      <c r="BK344" s="36" t="s">
        <v>344</v>
      </c>
      <c r="BL344" s="22">
        <f t="shared" si="69"/>
        <v>0</v>
      </c>
      <c r="BO344" s="36" t="s">
        <v>345</v>
      </c>
      <c r="BP344" s="22">
        <f t="shared" ref="BN344:BP345" si="70">EXP(-$B$200*1/32) * (BR343*$B$203 +BR345* $B$204)</f>
        <v>0</v>
      </c>
    </row>
    <row r="345" spans="5:70" x14ac:dyDescent="0.2">
      <c r="BM345" s="36" t="s">
        <v>345</v>
      </c>
      <c r="BN345" s="22">
        <f t="shared" si="70"/>
        <v>0</v>
      </c>
      <c r="BQ345" s="36" t="s">
        <v>346</v>
      </c>
      <c r="BR345" s="22">
        <f>MAX(BR272-$B$1,0)</f>
        <v>0</v>
      </c>
    </row>
    <row r="346" spans="5:70" x14ac:dyDescent="0.2">
      <c r="BO346" s="36" t="s">
        <v>346</v>
      </c>
      <c r="BP346" s="22">
        <f t="shared" ref="BP346" si="71">EXP(-$B$200*1/32) * (BR345*$B$203 +BR347* $B$204)</f>
        <v>0</v>
      </c>
    </row>
    <row r="347" spans="5:70" x14ac:dyDescent="0.2">
      <c r="BQ347" s="36" t="s">
        <v>347</v>
      </c>
      <c r="BR347" s="22">
        <f>MAX(BR274-$B$1,0)</f>
        <v>0</v>
      </c>
    </row>
    <row r="349" spans="5:70" x14ac:dyDescent="0.2">
      <c r="E349" s="12" t="s">
        <v>22</v>
      </c>
      <c r="F349" s="12"/>
      <c r="G349" s="12"/>
    </row>
    <row r="350" spans="5:70" x14ac:dyDescent="0.2">
      <c r="E350" t="s">
        <v>74</v>
      </c>
    </row>
    <row r="352" spans="5:70" x14ac:dyDescent="0.2">
      <c r="E352" s="45" t="s">
        <v>250</v>
      </c>
      <c r="F352" s="46"/>
      <c r="G352" s="45" t="s">
        <v>301</v>
      </c>
      <c r="H352" s="46"/>
      <c r="I352" s="45" t="s">
        <v>302</v>
      </c>
      <c r="J352" s="46"/>
      <c r="K352" s="45" t="s">
        <v>303</v>
      </c>
      <c r="L352" s="46"/>
      <c r="M352" s="45" t="s">
        <v>304</v>
      </c>
      <c r="N352" s="46"/>
      <c r="O352" s="45" t="s">
        <v>305</v>
      </c>
      <c r="P352" s="46"/>
      <c r="Q352" s="45" t="s">
        <v>306</v>
      </c>
      <c r="R352" s="46"/>
      <c r="S352" s="45" t="s">
        <v>307</v>
      </c>
      <c r="T352" s="46"/>
      <c r="U352" s="45" t="s">
        <v>308</v>
      </c>
      <c r="V352" s="46"/>
      <c r="W352" s="45" t="s">
        <v>309</v>
      </c>
      <c r="X352" s="46"/>
      <c r="Y352" s="45" t="s">
        <v>310</v>
      </c>
      <c r="Z352" s="46"/>
      <c r="AA352" s="45" t="s">
        <v>311</v>
      </c>
      <c r="AB352" s="46"/>
      <c r="AC352" s="45" t="s">
        <v>312</v>
      </c>
      <c r="AD352" s="46"/>
      <c r="AE352" s="45" t="s">
        <v>313</v>
      </c>
      <c r="AF352" s="46"/>
      <c r="AG352" s="45" t="s">
        <v>314</v>
      </c>
      <c r="AH352" s="46"/>
      <c r="AI352" s="45" t="s">
        <v>315</v>
      </c>
      <c r="AJ352" s="46"/>
      <c r="AK352" s="45" t="s">
        <v>316</v>
      </c>
      <c r="AL352" s="46"/>
      <c r="AM352" s="45" t="s">
        <v>317</v>
      </c>
      <c r="AN352" s="46"/>
      <c r="AO352" s="45" t="s">
        <v>318</v>
      </c>
      <c r="AP352" s="46"/>
      <c r="AQ352" s="45" t="s">
        <v>319</v>
      </c>
      <c r="AR352" s="46"/>
      <c r="AS352" s="45" t="s">
        <v>320</v>
      </c>
      <c r="AT352" s="46"/>
      <c r="AU352" s="45" t="s">
        <v>321</v>
      </c>
      <c r="AV352" s="46"/>
      <c r="AW352" s="45" t="s">
        <v>322</v>
      </c>
      <c r="AX352" s="46"/>
      <c r="AY352" s="40" t="s">
        <v>323</v>
      </c>
      <c r="AZ352" s="41"/>
      <c r="BA352" s="40" t="s">
        <v>324</v>
      </c>
      <c r="BB352" s="41"/>
      <c r="BC352" s="40" t="s">
        <v>325</v>
      </c>
      <c r="BD352" s="41"/>
      <c r="BE352" s="40" t="s">
        <v>326</v>
      </c>
      <c r="BF352" s="41"/>
      <c r="BG352" s="40" t="s">
        <v>327</v>
      </c>
      <c r="BH352" s="41"/>
      <c r="BI352" s="40" t="s">
        <v>328</v>
      </c>
      <c r="BJ352" s="41"/>
      <c r="BK352" s="40" t="s">
        <v>329</v>
      </c>
      <c r="BL352" s="41"/>
      <c r="BM352" s="40" t="s">
        <v>330</v>
      </c>
      <c r="BN352" s="41"/>
      <c r="BO352" s="40" t="s">
        <v>331</v>
      </c>
      <c r="BP352" s="41"/>
      <c r="BQ352" s="40" t="s">
        <v>249</v>
      </c>
      <c r="BR352" s="41"/>
    </row>
    <row r="354" spans="41:70" x14ac:dyDescent="0.2">
      <c r="BQ354" s="36" t="s">
        <v>259</v>
      </c>
      <c r="BR354" s="22">
        <f>MAX($B$1 - BR210,0)</f>
        <v>0</v>
      </c>
    </row>
    <row r="355" spans="41:70" x14ac:dyDescent="0.2">
      <c r="BO355" s="36" t="s">
        <v>259</v>
      </c>
      <c r="BP355" s="22">
        <f>EXP(-$B$200*1/32) * (BR354*$B$203 +BR356* $B$204)</f>
        <v>0</v>
      </c>
    </row>
    <row r="356" spans="41:70" x14ac:dyDescent="0.2">
      <c r="BM356" s="36" t="s">
        <v>259</v>
      </c>
      <c r="BN356" s="22">
        <f>EXP(-$B$200*1/32) * (BP355*$B$203 +BP357* $B$204)</f>
        <v>0</v>
      </c>
      <c r="BQ356" s="36" t="s">
        <v>260</v>
      </c>
      <c r="BR356" s="22">
        <f>MAX($B$1 - BR212,0)</f>
        <v>0</v>
      </c>
    </row>
    <row r="357" spans="41:70" x14ac:dyDescent="0.2">
      <c r="BK357" s="36" t="s">
        <v>259</v>
      </c>
      <c r="BL357" s="22">
        <f>EXP(-$B$200*1/32) * (BN356*$B$203 +BN358* $B$204)</f>
        <v>0</v>
      </c>
      <c r="BO357" s="36" t="s">
        <v>260</v>
      </c>
      <c r="BP357" s="22">
        <f t="shared" ref="H357:BP387" si="72">EXP(-$B$200*1/32) * (BR356*$B$203 +BR358* $B$204)</f>
        <v>0</v>
      </c>
    </row>
    <row r="358" spans="41:70" x14ac:dyDescent="0.2">
      <c r="BI358" s="36" t="s">
        <v>259</v>
      </c>
      <c r="BJ358" s="22">
        <f>EXP(-$B$200*1/32) * (BL357*$B$203 +BL359* $B$204)</f>
        <v>0</v>
      </c>
      <c r="BM358" s="36" t="s">
        <v>260</v>
      </c>
      <c r="BN358" s="22">
        <f t="shared" si="72"/>
        <v>0</v>
      </c>
      <c r="BQ358" s="36" t="s">
        <v>261</v>
      </c>
      <c r="BR358" s="22">
        <f>MAX($B$1 - BR214,0)</f>
        <v>0</v>
      </c>
    </row>
    <row r="359" spans="41:70" x14ac:dyDescent="0.2">
      <c r="BG359" s="36" t="s">
        <v>259</v>
      </c>
      <c r="BH359" s="22">
        <f>EXP(-$B$200*1/32) * (BJ358*$B$203 +BJ360* $B$204)</f>
        <v>0</v>
      </c>
      <c r="BK359" s="36" t="s">
        <v>260</v>
      </c>
      <c r="BL359" s="22">
        <f t="shared" si="72"/>
        <v>0</v>
      </c>
      <c r="BO359" s="36" t="s">
        <v>261</v>
      </c>
      <c r="BP359" s="22">
        <f t="shared" ref="J359:BP388" si="73">EXP(-$B$200*1/32) * (BR358*$B$203 +BR360* $B$204)</f>
        <v>0</v>
      </c>
    </row>
    <row r="360" spans="41:70" x14ac:dyDescent="0.2">
      <c r="BE360" s="36" t="s">
        <v>259</v>
      </c>
      <c r="BF360" s="22">
        <f>EXP(-$B$200*1/32) * (BH359*$B$203 +BH361* $B$204)</f>
        <v>0</v>
      </c>
      <c r="BI360" s="36" t="s">
        <v>260</v>
      </c>
      <c r="BJ360" s="22">
        <f t="shared" si="72"/>
        <v>0</v>
      </c>
      <c r="BM360" s="36" t="s">
        <v>261</v>
      </c>
      <c r="BN360" s="22">
        <f t="shared" si="73"/>
        <v>0</v>
      </c>
      <c r="BQ360" s="36" t="s">
        <v>262</v>
      </c>
      <c r="BR360" s="22">
        <f>MAX($B$1 - BR216,0)</f>
        <v>0</v>
      </c>
    </row>
    <row r="361" spans="41:70" x14ac:dyDescent="0.2">
      <c r="BC361" s="36" t="s">
        <v>259</v>
      </c>
      <c r="BD361" s="22">
        <f>EXP(-$B$200*1/32) * (BF360*$B$203 +BF362* $B$204)</f>
        <v>0</v>
      </c>
      <c r="BG361" s="36" t="s">
        <v>260</v>
      </c>
      <c r="BH361" s="22">
        <f t="shared" si="72"/>
        <v>0</v>
      </c>
      <c r="BK361" s="36" t="s">
        <v>261</v>
      </c>
      <c r="BL361" s="22">
        <f t="shared" si="73"/>
        <v>0</v>
      </c>
      <c r="BO361" s="36" t="s">
        <v>262</v>
      </c>
      <c r="BP361" s="22">
        <f t="shared" ref="L361:BP389" si="74">EXP(-$B$200*1/32) * (BR360*$B$203 +BR362* $B$204)</f>
        <v>0</v>
      </c>
    </row>
    <row r="362" spans="41:70" x14ac:dyDescent="0.2">
      <c r="BA362" s="36" t="s">
        <v>259</v>
      </c>
      <c r="BB362" s="22">
        <f>EXP(-$B$200*1/32) * (BD361*$B$203 +BD363* $B$204)</f>
        <v>0</v>
      </c>
      <c r="BE362" s="36" t="s">
        <v>260</v>
      </c>
      <c r="BF362" s="22">
        <f t="shared" si="72"/>
        <v>0</v>
      </c>
      <c r="BI362" s="36" t="s">
        <v>261</v>
      </c>
      <c r="BJ362" s="22">
        <f t="shared" si="73"/>
        <v>0</v>
      </c>
      <c r="BM362" s="36" t="s">
        <v>262</v>
      </c>
      <c r="BN362" s="22">
        <f t="shared" si="74"/>
        <v>0</v>
      </c>
      <c r="BQ362" s="36" t="s">
        <v>263</v>
      </c>
      <c r="BR362" s="22">
        <f>MAX($B$1 - BR218,0)</f>
        <v>0</v>
      </c>
    </row>
    <row r="363" spans="41:70" x14ac:dyDescent="0.2">
      <c r="AY363" s="36" t="s">
        <v>259</v>
      </c>
      <c r="AZ363" s="22">
        <f>EXP(-$B$200*1/32) * (BB362*$B$203 +BB364* $B$204)</f>
        <v>0</v>
      </c>
      <c r="BC363" s="36" t="s">
        <v>260</v>
      </c>
      <c r="BD363" s="22">
        <f t="shared" si="72"/>
        <v>0</v>
      </c>
      <c r="BG363" s="36" t="s">
        <v>261</v>
      </c>
      <c r="BH363" s="22">
        <f t="shared" si="73"/>
        <v>0</v>
      </c>
      <c r="BK363" s="36" t="s">
        <v>262</v>
      </c>
      <c r="BL363" s="22">
        <f t="shared" si="74"/>
        <v>0</v>
      </c>
      <c r="BO363" s="36" t="s">
        <v>263</v>
      </c>
      <c r="BP363" s="22">
        <f t="shared" ref="N363:BP390" si="75">EXP(-$B$200*1/32) * (BR362*$B$203 +BR364* $B$204)</f>
        <v>0</v>
      </c>
    </row>
    <row r="364" spans="41:70" x14ac:dyDescent="0.2">
      <c r="AW364" s="36" t="s">
        <v>259</v>
      </c>
      <c r="AX364" s="22">
        <f>EXP(-$B$200*1/32) * (AZ363*$B$203 +AZ365* $B$204)</f>
        <v>0</v>
      </c>
      <c r="BA364" s="36" t="s">
        <v>260</v>
      </c>
      <c r="BB364" s="22">
        <f t="shared" si="72"/>
        <v>0</v>
      </c>
      <c r="BE364" s="36" t="s">
        <v>261</v>
      </c>
      <c r="BF364" s="22">
        <f t="shared" si="73"/>
        <v>0</v>
      </c>
      <c r="BI364" s="36" t="s">
        <v>262</v>
      </c>
      <c r="BJ364" s="22">
        <f t="shared" si="74"/>
        <v>0</v>
      </c>
      <c r="BM364" s="36" t="s">
        <v>263</v>
      </c>
      <c r="BN364" s="22">
        <f t="shared" si="75"/>
        <v>0</v>
      </c>
      <c r="BQ364" s="36" t="s">
        <v>264</v>
      </c>
      <c r="BR364" s="22">
        <f>MAX($B$1 - BR220,0)</f>
        <v>0</v>
      </c>
    </row>
    <row r="365" spans="41:70" x14ac:dyDescent="0.2">
      <c r="AU365" s="36" t="s">
        <v>259</v>
      </c>
      <c r="AV365" s="22">
        <f>EXP(-$B$200*1/32) * (AX364*$B$203 +AX366* $B$204)</f>
        <v>0</v>
      </c>
      <c r="AY365" s="36" t="s">
        <v>260</v>
      </c>
      <c r="AZ365" s="22">
        <f t="shared" si="72"/>
        <v>0</v>
      </c>
      <c r="BC365" s="36" t="s">
        <v>261</v>
      </c>
      <c r="BD365" s="22">
        <f t="shared" si="73"/>
        <v>0</v>
      </c>
      <c r="BG365" s="36" t="s">
        <v>262</v>
      </c>
      <c r="BH365" s="22">
        <f t="shared" si="74"/>
        <v>0</v>
      </c>
      <c r="BK365" s="36" t="s">
        <v>263</v>
      </c>
      <c r="BL365" s="22">
        <f t="shared" si="75"/>
        <v>0</v>
      </c>
      <c r="BO365" s="36" t="s">
        <v>264</v>
      </c>
      <c r="BP365" s="22">
        <f t="shared" ref="P365:BP391" si="76">EXP(-$B$200*1/32) * (BR364*$B$203 +BR366* $B$204)</f>
        <v>0</v>
      </c>
    </row>
    <row r="366" spans="41:70" x14ac:dyDescent="0.2">
      <c r="AS366" s="36" t="s">
        <v>259</v>
      </c>
      <c r="AT366" s="22">
        <f>EXP(-$B$200*1/32) * (AV365*$B$203 +AV367* $B$204)</f>
        <v>0</v>
      </c>
      <c r="AW366" s="36" t="s">
        <v>260</v>
      </c>
      <c r="AX366" s="22">
        <f t="shared" si="72"/>
        <v>0</v>
      </c>
      <c r="BA366" s="36" t="s">
        <v>261</v>
      </c>
      <c r="BB366" s="22">
        <f t="shared" si="73"/>
        <v>0</v>
      </c>
      <c r="BE366" s="36" t="s">
        <v>262</v>
      </c>
      <c r="BF366" s="22">
        <f t="shared" si="74"/>
        <v>0</v>
      </c>
      <c r="BI366" s="36" t="s">
        <v>263</v>
      </c>
      <c r="BJ366" s="22">
        <f t="shared" si="75"/>
        <v>0</v>
      </c>
      <c r="BM366" s="36" t="s">
        <v>264</v>
      </c>
      <c r="BN366" s="22">
        <f t="shared" si="76"/>
        <v>0</v>
      </c>
      <c r="BQ366" s="36" t="s">
        <v>265</v>
      </c>
      <c r="BR366" s="22">
        <f>MAX($B$1 - BR222,0)</f>
        <v>0</v>
      </c>
    </row>
    <row r="367" spans="41:70" x14ac:dyDescent="0.2">
      <c r="AQ367" s="36" t="s">
        <v>259</v>
      </c>
      <c r="AR367" s="22">
        <f>EXP(-$B$200*1/32) * (AT366*$B$203 +AT368* $B$204)</f>
        <v>5.611358088090617E-6</v>
      </c>
      <c r="AU367" s="36" t="s">
        <v>260</v>
      </c>
      <c r="AV367" s="22">
        <f t="shared" si="72"/>
        <v>0</v>
      </c>
      <c r="AY367" s="36" t="s">
        <v>261</v>
      </c>
      <c r="AZ367" s="22">
        <f t="shared" si="73"/>
        <v>0</v>
      </c>
      <c r="BC367" s="36" t="s">
        <v>262</v>
      </c>
      <c r="BD367" s="22">
        <f t="shared" si="74"/>
        <v>0</v>
      </c>
      <c r="BG367" s="36" t="s">
        <v>263</v>
      </c>
      <c r="BH367" s="22">
        <f t="shared" si="75"/>
        <v>0</v>
      </c>
      <c r="BK367" s="36" t="s">
        <v>264</v>
      </c>
      <c r="BL367" s="22">
        <f t="shared" si="76"/>
        <v>0</v>
      </c>
      <c r="BO367" s="36" t="s">
        <v>265</v>
      </c>
      <c r="BP367" s="22">
        <f t="shared" ref="R367:BP392" si="77">EXP(-$B$200*1/32) * (BR366*$B$203 +BR368* $B$204)</f>
        <v>0</v>
      </c>
    </row>
    <row r="368" spans="41:70" x14ac:dyDescent="0.2">
      <c r="AO368" s="36" t="s">
        <v>259</v>
      </c>
      <c r="AP368" s="22">
        <f>EXP(-$B$200*1/32) * (AR367*$B$203 +AR369* $B$204)</f>
        <v>8.3619434409958214E-5</v>
      </c>
      <c r="AS368" s="36" t="s">
        <v>260</v>
      </c>
      <c r="AT368" s="22">
        <f t="shared" si="72"/>
        <v>1.1046832677863325E-5</v>
      </c>
      <c r="AW368" s="36" t="s">
        <v>261</v>
      </c>
      <c r="AX368" s="22">
        <f t="shared" si="73"/>
        <v>0</v>
      </c>
      <c r="BA368" s="36" t="s">
        <v>262</v>
      </c>
      <c r="BB368" s="22">
        <f t="shared" si="74"/>
        <v>0</v>
      </c>
      <c r="BE368" s="36" t="s">
        <v>263</v>
      </c>
      <c r="BF368" s="22">
        <f t="shared" si="75"/>
        <v>0</v>
      </c>
      <c r="BI368" s="36" t="s">
        <v>264</v>
      </c>
      <c r="BJ368" s="22">
        <f t="shared" si="76"/>
        <v>0</v>
      </c>
      <c r="BM368" s="36" t="s">
        <v>265</v>
      </c>
      <c r="BN368" s="22">
        <f t="shared" si="77"/>
        <v>0</v>
      </c>
      <c r="BQ368" s="36" t="s">
        <v>266</v>
      </c>
      <c r="BR368" s="22">
        <f>MAX($B$1 - BR224,0)</f>
        <v>0</v>
      </c>
    </row>
    <row r="369" spans="9:70" x14ac:dyDescent="0.2">
      <c r="AM369" s="36" t="s">
        <v>259</v>
      </c>
      <c r="AN369" s="22">
        <f>EXP(-$B$200*1/32) * (AP368*$B$203 +AP370* $B$204)</f>
        <v>5.1661112774601216E-4</v>
      </c>
      <c r="AQ369" s="36" t="s">
        <v>260</v>
      </c>
      <c r="AR369" s="22">
        <f t="shared" si="72"/>
        <v>1.5919570422613823E-4</v>
      </c>
      <c r="AU369" s="36" t="s">
        <v>261</v>
      </c>
      <c r="AV369" s="22">
        <f t="shared" si="73"/>
        <v>2.1747411285639969E-5</v>
      </c>
      <c r="AY369" s="36" t="s">
        <v>262</v>
      </c>
      <c r="AZ369" s="22">
        <f t="shared" si="74"/>
        <v>0</v>
      </c>
      <c r="BC369" s="36" t="s">
        <v>263</v>
      </c>
      <c r="BD369" s="22">
        <f t="shared" si="75"/>
        <v>0</v>
      </c>
      <c r="BG369" s="36" t="s">
        <v>264</v>
      </c>
      <c r="BH369" s="22">
        <f t="shared" si="76"/>
        <v>0</v>
      </c>
      <c r="BK369" s="36" t="s">
        <v>265</v>
      </c>
      <c r="BL369" s="22">
        <f t="shared" si="77"/>
        <v>0</v>
      </c>
      <c r="BO369" s="36" t="s">
        <v>266</v>
      </c>
      <c r="BP369" s="22">
        <f t="shared" ref="T369:BP393" si="78">EXP(-$B$200*1/32) * (BR368*$B$203 +BR370* $B$204)</f>
        <v>0</v>
      </c>
    </row>
    <row r="370" spans="9:70" x14ac:dyDescent="0.2">
      <c r="AK370" s="36" t="s">
        <v>259</v>
      </c>
      <c r="AL370" s="22">
        <f>EXP(-$B$200*1/32) * (AN369*$B$203 +AN371* $B$204)</f>
        <v>2.0425518759188944E-3</v>
      </c>
      <c r="AO370" s="36" t="s">
        <v>260</v>
      </c>
      <c r="AP370" s="22">
        <f t="shared" si="72"/>
        <v>9.3622914704642214E-4</v>
      </c>
      <c r="AS370" s="36" t="s">
        <v>261</v>
      </c>
      <c r="AT370" s="22">
        <f t="shared" si="73"/>
        <v>3.0272713966711092E-4</v>
      </c>
      <c r="AW370" s="36" t="s">
        <v>262</v>
      </c>
      <c r="AX370" s="22">
        <f t="shared" si="74"/>
        <v>4.2813167485963817E-5</v>
      </c>
      <c r="BA370" s="36" t="s">
        <v>263</v>
      </c>
      <c r="BB370" s="22">
        <f t="shared" si="75"/>
        <v>0</v>
      </c>
      <c r="BE370" s="36" t="s">
        <v>264</v>
      </c>
      <c r="BF370" s="22">
        <f t="shared" si="76"/>
        <v>0</v>
      </c>
      <c r="BI370" s="36" t="s">
        <v>265</v>
      </c>
      <c r="BJ370" s="22">
        <f t="shared" si="77"/>
        <v>0</v>
      </c>
      <c r="BM370" s="36" t="s">
        <v>266</v>
      </c>
      <c r="BN370" s="22">
        <f t="shared" si="78"/>
        <v>0</v>
      </c>
      <c r="BQ370" s="36" t="s">
        <v>267</v>
      </c>
      <c r="BR370" s="22">
        <f>MAX($B$1 - BR226,0)</f>
        <v>0</v>
      </c>
    </row>
    <row r="371" spans="9:70" x14ac:dyDescent="0.2">
      <c r="AI371" s="36" t="s">
        <v>259</v>
      </c>
      <c r="AJ371" s="22">
        <f>EXP(-$B$200*1/32) * (AL370*$B$203 +AL372* $B$204)</f>
        <v>6.0858645650265315E-3</v>
      </c>
      <c r="AM371" s="36" t="s">
        <v>260</v>
      </c>
      <c r="AN371" s="22">
        <f t="shared" si="72"/>
        <v>3.5218871376178334E-3</v>
      </c>
      <c r="AQ371" s="36" t="s">
        <v>261</v>
      </c>
      <c r="AR371" s="22">
        <f t="shared" si="73"/>
        <v>1.6892842511613032E-3</v>
      </c>
      <c r="AU371" s="36" t="s">
        <v>262</v>
      </c>
      <c r="AV371" s="22">
        <f t="shared" si="74"/>
        <v>5.7495130635770069E-4</v>
      </c>
      <c r="AY371" s="36" t="s">
        <v>263</v>
      </c>
      <c r="AZ371" s="22">
        <f t="shared" si="75"/>
        <v>8.4284390730749454E-5</v>
      </c>
      <c r="BC371" s="36" t="s">
        <v>264</v>
      </c>
      <c r="BD371" s="22">
        <f t="shared" si="76"/>
        <v>0</v>
      </c>
      <c r="BG371" s="36" t="s">
        <v>265</v>
      </c>
      <c r="BH371" s="22">
        <f t="shared" si="77"/>
        <v>0</v>
      </c>
      <c r="BK371" s="36" t="s">
        <v>266</v>
      </c>
      <c r="BL371" s="22">
        <f t="shared" si="78"/>
        <v>0</v>
      </c>
      <c r="BO371" s="36" t="s">
        <v>267</v>
      </c>
      <c r="BP371" s="22">
        <f t="shared" ref="V371:BP394" si="79">EXP(-$B$200*1/32) * (BR370*$B$203 +BR372* $B$204)</f>
        <v>0</v>
      </c>
    </row>
    <row r="372" spans="9:70" x14ac:dyDescent="0.2">
      <c r="AG372" s="36" t="s">
        <v>259</v>
      </c>
      <c r="AH372" s="22">
        <f>EXP(-$B$200*1/32) * (AJ371*$B$203 +AJ373* $B$204)</f>
        <v>1.4859239676607889E-2</v>
      </c>
      <c r="AK372" s="36" t="s">
        <v>260</v>
      </c>
      <c r="AL372" s="22">
        <f t="shared" si="72"/>
        <v>1.0007281859204546E-2</v>
      </c>
      <c r="AO372" s="36" t="s">
        <v>261</v>
      </c>
      <c r="AP372" s="22">
        <f t="shared" si="73"/>
        <v>6.0287177702624626E-3</v>
      </c>
      <c r="AS372" s="36" t="s">
        <v>262</v>
      </c>
      <c r="AT372" s="22">
        <f t="shared" si="74"/>
        <v>3.0330980341360405E-3</v>
      </c>
      <c r="AW372" s="36" t="s">
        <v>263</v>
      </c>
      <c r="AX372" s="22">
        <f t="shared" si="75"/>
        <v>1.0905114321301636E-3</v>
      </c>
      <c r="BA372" s="36" t="s">
        <v>264</v>
      </c>
      <c r="BB372" s="22">
        <f t="shared" si="76"/>
        <v>1.6592695514020599E-4</v>
      </c>
      <c r="BE372" s="36" t="s">
        <v>265</v>
      </c>
      <c r="BF372" s="22">
        <f t="shared" si="77"/>
        <v>0</v>
      </c>
      <c r="BI372" s="36" t="s">
        <v>266</v>
      </c>
      <c r="BJ372" s="22">
        <f t="shared" si="78"/>
        <v>0</v>
      </c>
      <c r="BM372" s="36" t="s">
        <v>267</v>
      </c>
      <c r="BN372" s="22">
        <f t="shared" si="79"/>
        <v>0</v>
      </c>
      <c r="BQ372" s="36" t="s">
        <v>293</v>
      </c>
      <c r="BR372" s="22">
        <f>MAX($B$1 - BR228,0)</f>
        <v>0</v>
      </c>
    </row>
    <row r="373" spans="9:70" x14ac:dyDescent="0.2">
      <c r="AE373" s="36" t="s">
        <v>259</v>
      </c>
      <c r="AF373" s="22">
        <f>EXP(-$B$200*1/32) * (AH372*$B$203 +AH374* $B$204)</f>
        <v>3.1258919733969236E-2</v>
      </c>
      <c r="AI373" s="36" t="s">
        <v>260</v>
      </c>
      <c r="AJ373" s="22">
        <f t="shared" si="72"/>
        <v>2.3372038358260103E-2</v>
      </c>
      <c r="AM373" s="36" t="s">
        <v>261</v>
      </c>
      <c r="AN373" s="22">
        <f t="shared" si="73"/>
        <v>1.6297740766461122E-2</v>
      </c>
      <c r="AQ373" s="36" t="s">
        <v>262</v>
      </c>
      <c r="AR373" s="22">
        <f t="shared" si="74"/>
        <v>1.0236137303754674E-2</v>
      </c>
      <c r="AU373" s="36" t="s">
        <v>263</v>
      </c>
      <c r="AV373" s="22">
        <f t="shared" si="75"/>
        <v>5.4155582430444023E-3</v>
      </c>
      <c r="AY373" s="36" t="s">
        <v>264</v>
      </c>
      <c r="AZ373" s="22">
        <f t="shared" si="76"/>
        <v>2.0653987746921333E-3</v>
      </c>
      <c r="BC373" s="36" t="s">
        <v>265</v>
      </c>
      <c r="BD373" s="22">
        <f t="shared" si="77"/>
        <v>3.2665306355540312E-4</v>
      </c>
      <c r="BG373" s="36" t="s">
        <v>266</v>
      </c>
      <c r="BH373" s="22">
        <f t="shared" si="78"/>
        <v>0</v>
      </c>
      <c r="BK373" s="36" t="s">
        <v>267</v>
      </c>
      <c r="BL373" s="22">
        <f t="shared" si="79"/>
        <v>0</v>
      </c>
      <c r="BO373" s="36" t="s">
        <v>293</v>
      </c>
      <c r="BP373" s="22">
        <f t="shared" ref="X373:BP395" si="80">EXP(-$B$200*1/32) * (BR372*$B$203 +BR374* $B$204)</f>
        <v>0</v>
      </c>
    </row>
    <row r="374" spans="9:70" x14ac:dyDescent="0.2">
      <c r="AC374" s="36" t="s">
        <v>259</v>
      </c>
      <c r="AD374" s="22">
        <f>EXP(-$B$200*1/32) * (AF373*$B$203 +AF375* $B$204)</f>
        <v>5.8558276448150287E-2</v>
      </c>
      <c r="AG374" s="36" t="s">
        <v>260</v>
      </c>
      <c r="AH374" s="22">
        <f t="shared" si="72"/>
        <v>4.7179767868739744E-2</v>
      </c>
      <c r="AK374" s="36" t="s">
        <v>261</v>
      </c>
      <c r="AL374" s="22">
        <f t="shared" si="73"/>
        <v>3.6341595456865231E-2</v>
      </c>
      <c r="AO374" s="36" t="s">
        <v>262</v>
      </c>
      <c r="AP374" s="22">
        <f t="shared" si="74"/>
        <v>2.6259172069053965E-2</v>
      </c>
      <c r="AS374" s="36" t="s">
        <v>263</v>
      </c>
      <c r="AT374" s="22">
        <f t="shared" si="75"/>
        <v>1.7220588784821307E-2</v>
      </c>
      <c r="AW374" s="36" t="s">
        <v>264</v>
      </c>
      <c r="AX374" s="22">
        <f t="shared" si="76"/>
        <v>9.6076234630486524E-3</v>
      </c>
      <c r="BA374" s="36" t="s">
        <v>265</v>
      </c>
      <c r="BB374" s="22">
        <f t="shared" si="77"/>
        <v>3.9057262758660366E-3</v>
      </c>
      <c r="BE374" s="36" t="s">
        <v>266</v>
      </c>
      <c r="BF374" s="22">
        <f t="shared" si="78"/>
        <v>6.4306745001117111E-4</v>
      </c>
      <c r="BI374" s="36" t="s">
        <v>267</v>
      </c>
      <c r="BJ374" s="22">
        <f t="shared" si="79"/>
        <v>0</v>
      </c>
      <c r="BM374" s="36" t="s">
        <v>293</v>
      </c>
      <c r="BN374" s="22">
        <f t="shared" si="80"/>
        <v>0</v>
      </c>
      <c r="BQ374" s="36" t="s">
        <v>294</v>
      </c>
      <c r="BR374" s="22">
        <f>MAX($B$1 - BR230,0)</f>
        <v>0</v>
      </c>
    </row>
    <row r="375" spans="9:70" x14ac:dyDescent="0.2">
      <c r="AA375" s="36" t="s">
        <v>259</v>
      </c>
      <c r="AB375" s="22">
        <f>EXP(-$B$200*1/32) * (AD374*$B$203 +AD376* $B$204)</f>
        <v>9.9977677882047186E-2</v>
      </c>
      <c r="AE375" s="36" t="s">
        <v>260</v>
      </c>
      <c r="AF375" s="22">
        <f t="shared" si="72"/>
        <v>8.5076011930237033E-2</v>
      </c>
      <c r="AI375" s="36" t="s">
        <v>261</v>
      </c>
      <c r="AJ375" s="22">
        <f t="shared" si="73"/>
        <v>7.0296633678230955E-2</v>
      </c>
      <c r="AM375" s="36" t="s">
        <v>262</v>
      </c>
      <c r="AN375" s="22">
        <f t="shared" si="74"/>
        <v>5.5795802441496345E-2</v>
      </c>
      <c r="AQ375" s="36" t="s">
        <v>263</v>
      </c>
      <c r="AR375" s="22">
        <f t="shared" si="75"/>
        <v>4.1804228021892403E-2</v>
      </c>
      <c r="AU375" s="36" t="s">
        <v>264</v>
      </c>
      <c r="AV375" s="22">
        <f t="shared" si="76"/>
        <v>2.8668430085559568E-2</v>
      </c>
      <c r="AY375" s="36" t="s">
        <v>265</v>
      </c>
      <c r="AZ375" s="22">
        <f t="shared" si="77"/>
        <v>1.6918336305156573E-2</v>
      </c>
      <c r="BC375" s="36" t="s">
        <v>266</v>
      </c>
      <c r="BD375" s="22">
        <f t="shared" si="78"/>
        <v>7.373390191543574E-3</v>
      </c>
      <c r="BG375" s="36" t="s">
        <v>267</v>
      </c>
      <c r="BH375" s="22">
        <f t="shared" si="79"/>
        <v>1.265978468907673E-3</v>
      </c>
      <c r="BK375" s="36" t="s">
        <v>293</v>
      </c>
      <c r="BL375" s="22">
        <f t="shared" si="80"/>
        <v>0</v>
      </c>
      <c r="BO375" s="36" t="s">
        <v>294</v>
      </c>
      <c r="BP375" s="22">
        <f t="shared" ref="Z375:BP396" si="81">EXP(-$B$200*1/32) * (BR374*$B$203 +BR376* $B$204)</f>
        <v>0</v>
      </c>
    </row>
    <row r="376" spans="9:70" x14ac:dyDescent="0.2">
      <c r="Y376" s="36" t="s">
        <v>259</v>
      </c>
      <c r="Z376" s="22">
        <f>EXP(-$B$200*1/32) * (AB375*$B$203 +AB377* $B$204)</f>
        <v>0.1582422070431185</v>
      </c>
      <c r="AC376" s="36" t="s">
        <v>260</v>
      </c>
      <c r="AD376" s="22">
        <f t="shared" si="72"/>
        <v>0.14023755121748377</v>
      </c>
      <c r="AG376" s="36" t="s">
        <v>261</v>
      </c>
      <c r="AH376" s="22">
        <f t="shared" si="73"/>
        <v>0.12189620174246776</v>
      </c>
      <c r="AK376" s="36" t="s">
        <v>262</v>
      </c>
      <c r="AL376" s="22">
        <f t="shared" si="74"/>
        <v>0.10327347499548153</v>
      </c>
      <c r="AO376" s="36" t="s">
        <v>263</v>
      </c>
      <c r="AP376" s="22">
        <f t="shared" si="75"/>
        <v>8.4468841202879993E-2</v>
      </c>
      <c r="AS376" s="36" t="s">
        <v>264</v>
      </c>
      <c r="AT376" s="22">
        <f t="shared" si="76"/>
        <v>6.5658109971699644E-2</v>
      </c>
      <c r="AW376" s="36" t="s">
        <v>265</v>
      </c>
      <c r="AX376" s="22">
        <f t="shared" si="77"/>
        <v>4.7154552380059597E-2</v>
      </c>
      <c r="BA376" s="36" t="s">
        <v>266</v>
      </c>
      <c r="BB376" s="22">
        <f t="shared" si="78"/>
        <v>2.9532329563562915E-2</v>
      </c>
      <c r="BE376" s="36" t="s">
        <v>267</v>
      </c>
      <c r="BF376" s="22">
        <f t="shared" si="79"/>
        <v>1.3894279872147822E-2</v>
      </c>
      <c r="BI376" s="36" t="s">
        <v>293</v>
      </c>
      <c r="BJ376" s="22">
        <f t="shared" si="80"/>
        <v>2.4922758626796837E-3</v>
      </c>
      <c r="BM376" s="36" t="s">
        <v>294</v>
      </c>
      <c r="BN376" s="22">
        <f t="shared" si="81"/>
        <v>0</v>
      </c>
      <c r="BQ376" s="36" t="s">
        <v>295</v>
      </c>
      <c r="BR376" s="22">
        <f>MAX($B$1 - BR232,0)</f>
        <v>0</v>
      </c>
    </row>
    <row r="377" spans="9:70" x14ac:dyDescent="0.2">
      <c r="W377" s="36" t="s">
        <v>259</v>
      </c>
      <c r="X377" s="22">
        <f>EXP(-$B$200*1/32) * (Z376*$B$203 +Z378* $B$204)</f>
        <v>0.23522865857443065</v>
      </c>
      <c r="AA377" s="36" t="s">
        <v>260</v>
      </c>
      <c r="AB377" s="22">
        <f t="shared" si="72"/>
        <v>0.21491733732658555</v>
      </c>
      <c r="AE377" s="36" t="s">
        <v>261</v>
      </c>
      <c r="AF377" s="22">
        <f t="shared" si="73"/>
        <v>0.1938716489972285</v>
      </c>
      <c r="AI377" s="36" t="s">
        <v>262</v>
      </c>
      <c r="AJ377" s="22">
        <f t="shared" si="74"/>
        <v>0.17204496178013926</v>
      </c>
      <c r="AM377" s="36" t="s">
        <v>263</v>
      </c>
      <c r="AN377" s="22">
        <f t="shared" si="75"/>
        <v>0.14939518328169735</v>
      </c>
      <c r="AQ377" s="36" t="s">
        <v>264</v>
      </c>
      <c r="AR377" s="22">
        <f t="shared" si="76"/>
        <v>0.12589520432317108</v>
      </c>
      <c r="AU377" s="36" t="s">
        <v>265</v>
      </c>
      <c r="AV377" s="22">
        <f t="shared" si="77"/>
        <v>0.10155629615709652</v>
      </c>
      <c r="AY377" s="36" t="s">
        <v>266</v>
      </c>
      <c r="AZ377" s="22">
        <f t="shared" si="78"/>
        <v>7.6483119638369873E-2</v>
      </c>
      <c r="BC377" s="36" t="s">
        <v>267</v>
      </c>
      <c r="BD377" s="22">
        <f t="shared" si="79"/>
        <v>5.1014183038981142E-2</v>
      </c>
      <c r="BG377" s="36" t="s">
        <v>293</v>
      </c>
      <c r="BH377" s="22">
        <f t="shared" si="80"/>
        <v>2.6129756555766766E-2</v>
      </c>
      <c r="BK377" s="36" t="s">
        <v>294</v>
      </c>
      <c r="BL377" s="22">
        <f t="shared" si="81"/>
        <v>4.906433346417962E-3</v>
      </c>
      <c r="BO377" s="36" t="s">
        <v>295</v>
      </c>
      <c r="BP377" s="22">
        <f t="shared" ref="AB377:BP397" si="82">EXP(-$B$200*1/32) * (BR376*$B$203 +BR378* $B$204)</f>
        <v>0</v>
      </c>
    </row>
    <row r="378" spans="9:70" x14ac:dyDescent="0.2">
      <c r="U378" s="36" t="s">
        <v>259</v>
      </c>
      <c r="V378" s="22">
        <f>EXP(-$B$200*1/32) * (X377*$B$203 +X379* $B$204)</f>
        <v>0.3317643158045499</v>
      </c>
      <c r="Y378" s="36" t="s">
        <v>260</v>
      </c>
      <c r="Z378" s="22">
        <f t="shared" si="72"/>
        <v>0.31017692141108089</v>
      </c>
      <c r="AC378" s="36" t="s">
        <v>261</v>
      </c>
      <c r="AD378" s="22">
        <f t="shared" si="73"/>
        <v>0.28758858070888743</v>
      </c>
      <c r="AG378" s="36" t="s">
        <v>262</v>
      </c>
      <c r="AH378" s="22">
        <f t="shared" si="74"/>
        <v>0.26387986658973728</v>
      </c>
      <c r="AK378" s="36" t="s">
        <v>263</v>
      </c>
      <c r="AL378" s="22">
        <f t="shared" si="75"/>
        <v>0.23890552559678438</v>
      </c>
      <c r="AO378" s="36" t="s">
        <v>264</v>
      </c>
      <c r="AP378" s="22">
        <f t="shared" si="76"/>
        <v>0.21248657553635128</v>
      </c>
      <c r="AS378" s="36" t="s">
        <v>265</v>
      </c>
      <c r="AT378" s="22">
        <f t="shared" si="77"/>
        <v>0.18439976527809704</v>
      </c>
      <c r="AW378" s="36" t="s">
        <v>266</v>
      </c>
      <c r="AX378" s="22">
        <f t="shared" si="78"/>
        <v>0.15436457435672371</v>
      </c>
      <c r="BA378" s="36" t="s">
        <v>267</v>
      </c>
      <c r="BB378" s="22">
        <f t="shared" si="79"/>
        <v>0.12203223969230442</v>
      </c>
      <c r="BE378" s="36" t="s">
        <v>293</v>
      </c>
      <c r="BF378" s="22">
        <f t="shared" si="80"/>
        <v>8.7003509509692739E-2</v>
      </c>
      <c r="BI378" s="36" t="s">
        <v>294</v>
      </c>
      <c r="BJ378" s="22">
        <f t="shared" si="81"/>
        <v>4.9032243879832134E-2</v>
      </c>
      <c r="BM378" s="36" t="s">
        <v>295</v>
      </c>
      <c r="BN378" s="22">
        <f t="shared" si="82"/>
        <v>9.6590784926026945E-3</v>
      </c>
      <c r="BQ378" s="36" t="s">
        <v>296</v>
      </c>
      <c r="BR378" s="22">
        <f>MAX($B$1 - BR234,0)</f>
        <v>0</v>
      </c>
    </row>
    <row r="379" spans="9:70" x14ac:dyDescent="0.2">
      <c r="S379" s="36" t="s">
        <v>259</v>
      </c>
      <c r="T379" s="22">
        <f>EXP(-$B$200*1/32) * (V378*$B$203 +V380* $B$204)</f>
        <v>0.44759296718528563</v>
      </c>
      <c r="W379" s="36" t="s">
        <v>260</v>
      </c>
      <c r="X379" s="22">
        <f t="shared" si="72"/>
        <v>0.42583141786196371</v>
      </c>
      <c r="AA379" s="36" t="s">
        <v>261</v>
      </c>
      <c r="AB379" s="22">
        <f t="shared" si="73"/>
        <v>0.40295982851440437</v>
      </c>
      <c r="AE379" s="36" t="s">
        <v>262</v>
      </c>
      <c r="AF379" s="22">
        <f t="shared" si="74"/>
        <v>0.37882732956228521</v>
      </c>
      <c r="AI379" s="36" t="s">
        <v>263</v>
      </c>
      <c r="AJ379" s="22">
        <f t="shared" si="75"/>
        <v>0.35324386983063422</v>
      </c>
      <c r="AM379" s="36" t="s">
        <v>264</v>
      </c>
      <c r="AN379" s="22">
        <f t="shared" si="76"/>
        <v>0.32596416857923693</v>
      </c>
      <c r="AQ379" s="36" t="s">
        <v>265</v>
      </c>
      <c r="AR379" s="22">
        <f t="shared" si="77"/>
        <v>0.29666206671275186</v>
      </c>
      <c r="AU379" s="36" t="s">
        <v>266</v>
      </c>
      <c r="AV379" s="22">
        <f t="shared" si="78"/>
        <v>0.2648871683356836</v>
      </c>
      <c r="AY379" s="36" t="s">
        <v>267</v>
      </c>
      <c r="AZ379" s="22">
        <f t="shared" si="79"/>
        <v>0.22998609281139082</v>
      </c>
      <c r="BC379" s="36" t="s">
        <v>293</v>
      </c>
      <c r="BD379" s="22">
        <f t="shared" si="80"/>
        <v>0.19094514963048187</v>
      </c>
      <c r="BG379" s="36" t="s">
        <v>294</v>
      </c>
      <c r="BH379" s="22">
        <f t="shared" si="81"/>
        <v>0.14603112739625623</v>
      </c>
      <c r="BK379" s="36" t="s">
        <v>295</v>
      </c>
      <c r="BL379" s="22">
        <f t="shared" si="82"/>
        <v>9.1786590202218937E-2</v>
      </c>
      <c r="BO379" s="36" t="s">
        <v>296</v>
      </c>
      <c r="BP379" s="22">
        <f t="shared" ref="AD379:BP398" si="83">EXP(-$B$200*1/32) * (BR378*$B$203 +BR380* $B$204)</f>
        <v>1.9015400951971319E-2</v>
      </c>
    </row>
    <row r="380" spans="9:70" x14ac:dyDescent="0.2">
      <c r="Q380" s="36" t="s">
        <v>259</v>
      </c>
      <c r="R380" s="22">
        <f>EXP(-$B$200*1/32) * (T379*$B$203 +T381* $B$204)</f>
        <v>0.58148482260538614</v>
      </c>
      <c r="U380" s="36" t="s">
        <v>260</v>
      </c>
      <c r="V380" s="22">
        <f t="shared" si="72"/>
        <v>0.56057704143467235</v>
      </c>
      <c r="Y380" s="36" t="s">
        <v>261</v>
      </c>
      <c r="Z380" s="22">
        <f t="shared" si="73"/>
        <v>0.53859565350567362</v>
      </c>
      <c r="AC380" s="36" t="s">
        <v>262</v>
      </c>
      <c r="AD380" s="22">
        <f t="shared" si="74"/>
        <v>0.51539617996235954</v>
      </c>
      <c r="AG380" s="36" t="s">
        <v>263</v>
      </c>
      <c r="AH380" s="22">
        <f t="shared" si="75"/>
        <v>0.49079701135802856</v>
      </c>
      <c r="AK380" s="36" t="s">
        <v>264</v>
      </c>
      <c r="AL380" s="22">
        <f t="shared" si="76"/>
        <v>0.4645643588298452</v>
      </c>
      <c r="AO380" s="36" t="s">
        <v>265</v>
      </c>
      <c r="AP380" s="22">
        <f t="shared" si="77"/>
        <v>0.43638829714114291</v>
      </c>
      <c r="AS380" s="36" t="s">
        <v>266</v>
      </c>
      <c r="AT380" s="22">
        <f t="shared" si="78"/>
        <v>0.40584245589741524</v>
      </c>
      <c r="AW380" s="36" t="s">
        <v>267</v>
      </c>
      <c r="AX380" s="22">
        <f t="shared" si="79"/>
        <v>0.37231122380399378</v>
      </c>
      <c r="BA380" s="36" t="s">
        <v>293</v>
      </c>
      <c r="BB380" s="22">
        <f t="shared" si="80"/>
        <v>0.33484532440923209</v>
      </c>
      <c r="BE380" s="36" t="s">
        <v>294</v>
      </c>
      <c r="BF380" s="22">
        <f t="shared" si="81"/>
        <v>0.29183494169427016</v>
      </c>
      <c r="BI380" s="36" t="s">
        <v>295</v>
      </c>
      <c r="BJ380" s="22">
        <f t="shared" si="82"/>
        <v>0.24010582072483566</v>
      </c>
      <c r="BM380" s="36" t="s">
        <v>296</v>
      </c>
      <c r="BN380" s="22">
        <f t="shared" si="83"/>
        <v>0.17136276442584475</v>
      </c>
      <c r="BQ380" s="36" t="s">
        <v>297</v>
      </c>
      <c r="BR380" s="22">
        <f>MAX($B$1 - BR236,0)</f>
        <v>3.743477948141205E-2</v>
      </c>
    </row>
    <row r="381" spans="9:70" x14ac:dyDescent="0.2">
      <c r="O381" s="36" t="s">
        <v>259</v>
      </c>
      <c r="P381" s="22">
        <f>EXP(-$B$200*1/32) * (R380*$B$203 +R382* $B$204)</f>
        <v>0.73144443248608149</v>
      </c>
      <c r="S381" s="36" t="s">
        <v>260</v>
      </c>
      <c r="T381" s="22">
        <f t="shared" si="72"/>
        <v>0.71224033250303775</v>
      </c>
      <c r="W381" s="36" t="s">
        <v>261</v>
      </c>
      <c r="X381" s="22">
        <f t="shared" si="73"/>
        <v>0.69210800380003279</v>
      </c>
      <c r="AA381" s="36" t="s">
        <v>262</v>
      </c>
      <c r="AB381" s="22">
        <f t="shared" si="74"/>
        <v>0.6709347298516094</v>
      </c>
      <c r="AE381" s="36" t="s">
        <v>263</v>
      </c>
      <c r="AF381" s="22">
        <f t="shared" si="75"/>
        <v>0.64858186479071889</v>
      </c>
      <c r="AI381" s="36" t="s">
        <v>264</v>
      </c>
      <c r="AJ381" s="22">
        <f t="shared" si="76"/>
        <v>0.62487552605193508</v>
      </c>
      <c r="AM381" s="36" t="s">
        <v>265</v>
      </c>
      <c r="AN381" s="22">
        <f t="shared" si="77"/>
        <v>0.59959247535467874</v>
      </c>
      <c r="AQ381" s="36" t="s">
        <v>266</v>
      </c>
      <c r="AR381" s="22">
        <f t="shared" si="78"/>
        <v>0.57243773978436807</v>
      </c>
      <c r="AU381" s="36" t="s">
        <v>267</v>
      </c>
      <c r="AV381" s="22">
        <f t="shared" si="79"/>
        <v>0.54300715436032054</v>
      </c>
      <c r="AY381" s="36" t="s">
        <v>293</v>
      </c>
      <c r="AZ381" s="22">
        <f t="shared" si="80"/>
        <v>0.51072014536448129</v>
      </c>
      <c r="BC381" s="36" t="s">
        <v>294</v>
      </c>
      <c r="BD381" s="22">
        <f t="shared" si="81"/>
        <v>0.47468742987489942</v>
      </c>
      <c r="BG381" s="36" t="s">
        <v>295</v>
      </c>
      <c r="BH381" s="22">
        <f t="shared" si="82"/>
        <v>0.43341461339275478</v>
      </c>
      <c r="BK381" s="36" t="s">
        <v>296</v>
      </c>
      <c r="BL381" s="22">
        <f t="shared" si="83"/>
        <v>0.38399355490909731</v>
      </c>
      <c r="BO381" s="36" t="s">
        <v>297</v>
      </c>
      <c r="BP381" s="22">
        <f t="shared" ref="AF381:BP399" si="84">EXP(-$B$200*1/32) * (BR380*$B$203 +BR382* $B$204)</f>
        <v>0.31897997167950137</v>
      </c>
    </row>
    <row r="382" spans="9:70" x14ac:dyDescent="0.2">
      <c r="M382" s="36" t="s">
        <v>259</v>
      </c>
      <c r="N382" s="22">
        <f>EXP(-$B$200*1/32) * (P381*$B$203 +P383* $B$204)</f>
        <v>0.8949647657893961</v>
      </c>
      <c r="Q382" s="36" t="s">
        <v>260</v>
      </c>
      <c r="R382" s="22">
        <f t="shared" si="72"/>
        <v>0.87808126751977744</v>
      </c>
      <c r="U382" s="36" t="s">
        <v>261</v>
      </c>
      <c r="V382" s="22">
        <f t="shared" si="73"/>
        <v>0.86047791585146083</v>
      </c>
      <c r="Y382" s="36" t="s">
        <v>262</v>
      </c>
      <c r="Z382" s="22">
        <f t="shared" si="74"/>
        <v>0.84208461327589212</v>
      </c>
      <c r="AC382" s="36" t="s">
        <v>263</v>
      </c>
      <c r="AD382" s="22">
        <f t="shared" si="75"/>
        <v>0.82281906775050473</v>
      </c>
      <c r="AG382" s="36" t="s">
        <v>264</v>
      </c>
      <c r="AH382" s="22">
        <f t="shared" si="76"/>
        <v>0.80258382008047946</v>
      </c>
      <c r="AK382" s="36" t="s">
        <v>265</v>
      </c>
      <c r="AL382" s="22">
        <f t="shared" si="77"/>
        <v>0.78126246241694886</v>
      </c>
      <c r="AO382" s="36" t="s">
        <v>266</v>
      </c>
      <c r="AP382" s="22">
        <f t="shared" si="78"/>
        <v>0.75871499206268289</v>
      </c>
      <c r="AS382" s="36" t="s">
        <v>267</v>
      </c>
      <c r="AT382" s="22">
        <f t="shared" si="79"/>
        <v>0.73477270492619629</v>
      </c>
      <c r="AW382" s="36" t="s">
        <v>293</v>
      </c>
      <c r="AX382" s="22">
        <f t="shared" si="80"/>
        <v>0.70923479628954167</v>
      </c>
      <c r="BA382" s="36" t="s">
        <v>294</v>
      </c>
      <c r="BB382" s="22">
        <f t="shared" si="81"/>
        <v>0.68187558955934613</v>
      </c>
      <c r="BE382" s="36" t="s">
        <v>295</v>
      </c>
      <c r="BF382" s="22">
        <f t="shared" si="82"/>
        <v>0.65249993658648642</v>
      </c>
      <c r="BI382" s="36" t="s">
        <v>296</v>
      </c>
      <c r="BJ382" s="22">
        <f t="shared" si="83"/>
        <v>0.62123312934863795</v>
      </c>
      <c r="BM382" s="36" t="s">
        <v>297</v>
      </c>
      <c r="BN382" s="22">
        <f t="shared" si="84"/>
        <v>0.59036557792483013</v>
      </c>
      <c r="BQ382" s="36" t="s">
        <v>298</v>
      </c>
      <c r="BR382" s="22">
        <f>MAX($B$1 - BR238,0)</f>
        <v>0.59178904292364276</v>
      </c>
    </row>
    <row r="383" spans="9:70" x14ac:dyDescent="0.2">
      <c r="K383" s="36" t="s">
        <v>259</v>
      </c>
      <c r="L383" s="22">
        <f>EXP(-$B$200*1/32) * (N382*$B$203 +N384* $B$204)</f>
        <v>1.0692820050468639</v>
      </c>
      <c r="O383" s="36" t="s">
        <v>260</v>
      </c>
      <c r="P383" s="22">
        <f t="shared" si="72"/>
        <v>1.0550925417021342</v>
      </c>
      <c r="S383" s="36" t="s">
        <v>261</v>
      </c>
      <c r="T383" s="22">
        <f t="shared" si="73"/>
        <v>1.0404114115656136</v>
      </c>
      <c r="W383" s="36" t="s">
        <v>262</v>
      </c>
      <c r="X383" s="22">
        <f t="shared" si="74"/>
        <v>1.02521007294023</v>
      </c>
      <c r="AA383" s="36" t="s">
        <v>263</v>
      </c>
      <c r="AB383" s="22">
        <f t="shared" si="75"/>
        <v>1.0094594444402958</v>
      </c>
      <c r="AE383" s="36" t="s">
        <v>264</v>
      </c>
      <c r="AF383" s="22">
        <f t="shared" si="76"/>
        <v>0.99313149301833936</v>
      </c>
      <c r="AI383" s="36" t="s">
        <v>265</v>
      </c>
      <c r="AJ383" s="22">
        <f t="shared" si="77"/>
        <v>0.97620237547819355</v>
      </c>
      <c r="AM383" s="36" t="s">
        <v>266</v>
      </c>
      <c r="AN383" s="22">
        <f t="shared" si="78"/>
        <v>0.95865863701791643</v>
      </c>
      <c r="AQ383" s="36" t="s">
        <v>267</v>
      </c>
      <c r="AR383" s="22">
        <f t="shared" si="79"/>
        <v>0.9405096889244392</v>
      </c>
      <c r="AU383" s="36" t="s">
        <v>293</v>
      </c>
      <c r="AV383" s="22">
        <f t="shared" si="80"/>
        <v>0.92181395016148726</v>
      </c>
      <c r="AY383" s="36" t="s">
        <v>294</v>
      </c>
      <c r="AZ383" s="22">
        <f t="shared" si="81"/>
        <v>0.90273710602806512</v>
      </c>
      <c r="BC383" s="36" t="s">
        <v>295</v>
      </c>
      <c r="BD383" s="22">
        <f t="shared" si="82"/>
        <v>0.88369417926478977</v>
      </c>
      <c r="BG383" s="36" t="s">
        <v>296</v>
      </c>
      <c r="BH383" s="22">
        <f t="shared" si="83"/>
        <v>0.86574500389115894</v>
      </c>
      <c r="BK383" s="36" t="s">
        <v>297</v>
      </c>
      <c r="BL383" s="22">
        <f t="shared" si="84"/>
        <v>0.85194633471856518</v>
      </c>
      <c r="BO383" s="36" t="s">
        <v>298</v>
      </c>
      <c r="BP383" s="22">
        <f t="shared" ref="AH383:BP400" si="85">EXP(-$B$200*1/32) * (BR382*$B$203 +BR384* $B$204)</f>
        <v>0.85400051239030872</v>
      </c>
    </row>
    <row r="384" spans="9:70" x14ac:dyDescent="0.2">
      <c r="I384" s="36" t="s">
        <v>259</v>
      </c>
      <c r="J384" s="22">
        <f>EXP(-$B$200*1/32) * (L383*$B$203 +L385* $B$204)</f>
        <v>1.2515986054062416</v>
      </c>
      <c r="M384" s="36" t="s">
        <v>260</v>
      </c>
      <c r="N384" s="22">
        <f t="shared" si="72"/>
        <v>1.2402556605395472</v>
      </c>
      <c r="Q384" s="36" t="s">
        <v>261</v>
      </c>
      <c r="R384" s="22">
        <f t="shared" si="73"/>
        <v>1.2286357912842691</v>
      </c>
      <c r="U384" s="36" t="s">
        <v>262</v>
      </c>
      <c r="V384" s="22">
        <f t="shared" si="74"/>
        <v>1.2167435841232181</v>
      </c>
      <c r="Y384" s="36" t="s">
        <v>263</v>
      </c>
      <c r="Z384" s="22">
        <f t="shared" si="75"/>
        <v>1.2045905845702563</v>
      </c>
      <c r="AC384" s="36" t="s">
        <v>264</v>
      </c>
      <c r="AD384" s="22">
        <f t="shared" si="76"/>
        <v>1.1921990590943741</v>
      </c>
      <c r="AG384" s="36" t="s">
        <v>265</v>
      </c>
      <c r="AH384" s="22">
        <f t="shared" si="77"/>
        <v>1.1796079937994532</v>
      </c>
      <c r="AK384" s="36" t="s">
        <v>266</v>
      </c>
      <c r="AL384" s="22">
        <f t="shared" si="78"/>
        <v>1.1668829329972099</v>
      </c>
      <c r="AO384" s="36" t="s">
        <v>267</v>
      </c>
      <c r="AP384" s="22">
        <f t="shared" si="79"/>
        <v>1.1541326715605584</v>
      </c>
      <c r="AS384" s="36" t="s">
        <v>293</v>
      </c>
      <c r="AT384" s="22">
        <f t="shared" si="80"/>
        <v>1.1415387535970931</v>
      </c>
      <c r="AW384" s="36" t="s">
        <v>294</v>
      </c>
      <c r="AX384" s="22">
        <f t="shared" si="81"/>
        <v>1.1294102208708561</v>
      </c>
      <c r="BA384" s="36" t="s">
        <v>295</v>
      </c>
      <c r="BB384" s="22">
        <f t="shared" si="82"/>
        <v>1.1182913190024741</v>
      </c>
      <c r="BE384" s="36" t="s">
        <v>296</v>
      </c>
      <c r="BF384" s="22">
        <f t="shared" si="83"/>
        <v>1.109187653984367</v>
      </c>
      <c r="BI384" s="36" t="s">
        <v>297</v>
      </c>
      <c r="BJ384" s="22">
        <f t="shared" si="84"/>
        <v>1.1040646062381272</v>
      </c>
      <c r="BM384" s="36" t="s">
        <v>298</v>
      </c>
      <c r="BN384" s="22">
        <f t="shared" si="85"/>
        <v>1.1067266810307204</v>
      </c>
      <c r="BQ384" s="36" t="s">
        <v>299</v>
      </c>
      <c r="BR384" s="22">
        <f>MAX($B$1 - BR240,0)</f>
        <v>1.1093951745076573</v>
      </c>
    </row>
    <row r="385" spans="5:70" x14ac:dyDescent="0.2">
      <c r="G385" s="36" t="s">
        <v>259</v>
      </c>
      <c r="H385" s="22">
        <f>EXP(-$B$200*1/32) * (J384*$B$203 +J386* $B$204)</f>
        <v>1.4392566544985679</v>
      </c>
      <c r="K385" s="36" t="s">
        <v>260</v>
      </c>
      <c r="L385" s="22">
        <f t="shared" si="72"/>
        <v>1.4307338612288176</v>
      </c>
      <c r="O385" s="36" t="s">
        <v>261</v>
      </c>
      <c r="P385" s="22">
        <f t="shared" si="73"/>
        <v>1.422114596934513</v>
      </c>
      <c r="S385" s="36" t="s">
        <v>262</v>
      </c>
      <c r="T385" s="22">
        <f t="shared" si="74"/>
        <v>1.4134252549256674</v>
      </c>
      <c r="W385" s="36" t="s">
        <v>263</v>
      </c>
      <c r="X385" s="22">
        <f t="shared" si="75"/>
        <v>1.4047024438710944</v>
      </c>
      <c r="AA385" s="36" t="s">
        <v>264</v>
      </c>
      <c r="AB385" s="22">
        <f t="shared" si="76"/>
        <v>1.3959969938704302</v>
      </c>
      <c r="AE385" s="36" t="s">
        <v>265</v>
      </c>
      <c r="AF385" s="22">
        <f t="shared" si="77"/>
        <v>1.3873798278985729</v>
      </c>
      <c r="AI385" s="36" t="s">
        <v>266</v>
      </c>
      <c r="AJ385" s="22">
        <f t="shared" si="78"/>
        <v>1.37895073553905</v>
      </c>
      <c r="AM385" s="36" t="s">
        <v>267</v>
      </c>
      <c r="AN385" s="22">
        <f t="shared" si="79"/>
        <v>1.3708517521780659</v>
      </c>
      <c r="AQ385" s="36" t="s">
        <v>293</v>
      </c>
      <c r="AR385" s="22">
        <f t="shared" si="80"/>
        <v>1.3632879634722463</v>
      </c>
      <c r="AU385" s="36" t="s">
        <v>294</v>
      </c>
      <c r="AV385" s="22">
        <f t="shared" si="81"/>
        <v>1.3565603178142449</v>
      </c>
      <c r="AY385" s="36" t="s">
        <v>295</v>
      </c>
      <c r="AZ385" s="22">
        <f t="shared" si="82"/>
        <v>1.3511171125631802</v>
      </c>
      <c r="BC385" s="36" t="s">
        <v>296</v>
      </c>
      <c r="BD385" s="22">
        <f t="shared" si="83"/>
        <v>1.3476287490577294</v>
      </c>
      <c r="BG385" s="36" t="s">
        <v>297</v>
      </c>
      <c r="BH385" s="22">
        <f t="shared" si="84"/>
        <v>1.3470508158363623</v>
      </c>
      <c r="BK385" s="36" t="s">
        <v>298</v>
      </c>
      <c r="BL385" s="22">
        <f t="shared" si="85"/>
        <v>1.3502987689008104</v>
      </c>
      <c r="BO385" s="36" t="s">
        <v>299</v>
      </c>
      <c r="BP385" s="22">
        <f t="shared" ref="AJ385:BP401" si="86">EXP(-$B$200*1/32) * (BR384*$B$203 +BR386* $B$204)</f>
        <v>1.3535545532949931</v>
      </c>
    </row>
    <row r="386" spans="5:70" x14ac:dyDescent="0.2">
      <c r="E386" s="38" t="s">
        <v>268</v>
      </c>
      <c r="F386" s="22">
        <f>EXP(-$B$200*1/32) * (H385*$B$203 +H387* $B$204)</f>
        <v>1.6298561531973035</v>
      </c>
      <c r="I386" s="36" t="s">
        <v>260</v>
      </c>
      <c r="J386" s="22">
        <f t="shared" si="72"/>
        <v>1.6239978595886093</v>
      </c>
      <c r="M386" s="36" t="s">
        <v>261</v>
      </c>
      <c r="N386" s="22">
        <f t="shared" si="73"/>
        <v>1.6181799501095637</v>
      </c>
      <c r="Q386" s="36" t="s">
        <v>262</v>
      </c>
      <c r="R386" s="22">
        <f t="shared" si="74"/>
        <v>1.6124397107466339</v>
      </c>
      <c r="U386" s="36" t="s">
        <v>263</v>
      </c>
      <c r="V386" s="22">
        <f t="shared" si="75"/>
        <v>1.6068246689853858</v>
      </c>
      <c r="Y386" s="36" t="s">
        <v>264</v>
      </c>
      <c r="Z386" s="22">
        <f t="shared" si="76"/>
        <v>1.6013957384175153</v>
      </c>
      <c r="AC386" s="36" t="s">
        <v>265</v>
      </c>
      <c r="AD386" s="22">
        <f t="shared" si="77"/>
        <v>1.5962314702205227</v>
      </c>
      <c r="AG386" s="36" t="s">
        <v>266</v>
      </c>
      <c r="AH386" s="22">
        <f t="shared" si="78"/>
        <v>1.5914338155663152</v>
      </c>
      <c r="AK386" s="36" t="s">
        <v>267</v>
      </c>
      <c r="AL386" s="22">
        <f t="shared" si="79"/>
        <v>1.5871358911999736</v>
      </c>
      <c r="AO386" s="36" t="s">
        <v>293</v>
      </c>
      <c r="AP386" s="22">
        <f t="shared" si="80"/>
        <v>1.5835121888684358</v>
      </c>
      <c r="AS386" s="36" t="s">
        <v>294</v>
      </c>
      <c r="AT386" s="22">
        <f t="shared" si="81"/>
        <v>1.5807910279803108</v>
      </c>
      <c r="AW386" s="36" t="s">
        <v>295</v>
      </c>
      <c r="AX386" s="22">
        <f t="shared" si="82"/>
        <v>1.5792662493839851</v>
      </c>
      <c r="BA386" s="36" t="s">
        <v>296</v>
      </c>
      <c r="BB386" s="22">
        <f t="shared" si="83"/>
        <v>1.5792944989634077</v>
      </c>
      <c r="BE386" s="36" t="s">
        <v>297</v>
      </c>
      <c r="BF386" s="22">
        <f t="shared" si="84"/>
        <v>1.5812238624916983</v>
      </c>
      <c r="BI386" s="36" t="s">
        <v>298</v>
      </c>
      <c r="BJ386" s="22">
        <f t="shared" si="85"/>
        <v>1.5850364438949982</v>
      </c>
      <c r="BM386" s="36" t="s">
        <v>299</v>
      </c>
      <c r="BN386" s="22">
        <f t="shared" si="86"/>
        <v>1.5888582180364683</v>
      </c>
      <c r="BQ386" s="36" t="s">
        <v>300</v>
      </c>
      <c r="BR386" s="22">
        <f>MAX($B$1 - BR242,0)</f>
        <v>1.5926892070812571</v>
      </c>
    </row>
    <row r="387" spans="5:70" x14ac:dyDescent="0.2">
      <c r="G387" s="36" t="s">
        <v>260</v>
      </c>
      <c r="H387" s="22">
        <f t="shared" si="72"/>
        <v>1.8178911888255935</v>
      </c>
      <c r="K387" s="36" t="s">
        <v>261</v>
      </c>
      <c r="L387" s="22">
        <f t="shared" si="73"/>
        <v>1.8145936870415589</v>
      </c>
      <c r="O387" s="36" t="s">
        <v>262</v>
      </c>
      <c r="P387" s="22">
        <f t="shared" si="74"/>
        <v>1.8114689063785503</v>
      </c>
      <c r="S387" s="36" t="s">
        <v>263</v>
      </c>
      <c r="T387" s="22">
        <f t="shared" si="75"/>
        <v>1.8085647466053758</v>
      </c>
      <c r="W387" s="36" t="s">
        <v>264</v>
      </c>
      <c r="X387" s="22">
        <f t="shared" si="76"/>
        <v>1.8059393985119727</v>
      </c>
      <c r="AA387" s="36" t="s">
        <v>265</v>
      </c>
      <c r="AB387" s="22">
        <f t="shared" si="77"/>
        <v>1.8036636635441048</v>
      </c>
      <c r="AE387" s="36" t="s">
        <v>266</v>
      </c>
      <c r="AF387" s="22">
        <f t="shared" si="78"/>
        <v>1.8018236500047289</v>
      </c>
      <c r="AI387" s="36" t="s">
        <v>267</v>
      </c>
      <c r="AJ387" s="22">
        <f t="shared" si="79"/>
        <v>1.8005236393111206</v>
      </c>
      <c r="AM387" s="36" t="s">
        <v>293</v>
      </c>
      <c r="AN387" s="22">
        <f t="shared" si="80"/>
        <v>1.7998884456090851</v>
      </c>
      <c r="AQ387" s="36" t="s">
        <v>294</v>
      </c>
      <c r="AR387" s="22">
        <f t="shared" si="81"/>
        <v>1.8000634115431482</v>
      </c>
      <c r="AU387" s="36" t="s">
        <v>295</v>
      </c>
      <c r="AV387" s="22">
        <f t="shared" si="82"/>
        <v>1.8012072170078757</v>
      </c>
      <c r="AY387" s="36" t="s">
        <v>296</v>
      </c>
      <c r="AZ387" s="22">
        <f t="shared" si="83"/>
        <v>1.8034651497113861</v>
      </c>
      <c r="BC387" s="36" t="s">
        <v>297</v>
      </c>
      <c r="BD387" s="22">
        <f t="shared" si="84"/>
        <v>1.8068915227341373</v>
      </c>
      <c r="BG387" s="36" t="s">
        <v>298</v>
      </c>
      <c r="BH387" s="22">
        <f t="shared" si="85"/>
        <v>1.8112482246412922</v>
      </c>
      <c r="BK387" s="36" t="s">
        <v>299</v>
      </c>
      <c r="BL387" s="22">
        <f t="shared" si="86"/>
        <v>1.8156154312474111</v>
      </c>
      <c r="BO387" s="36" t="s">
        <v>300</v>
      </c>
      <c r="BP387" s="22">
        <f t="shared" ref="AL387:BP402" si="87">EXP(-$B$200*1/32) * (BR386*$B$203 +BR388* $B$204)</f>
        <v>1.8199931678809893</v>
      </c>
    </row>
    <row r="388" spans="5:70" x14ac:dyDescent="0.2">
      <c r="I388" s="36" t="s">
        <v>261</v>
      </c>
      <c r="J388" s="22">
        <f t="shared" si="73"/>
        <v>2.0095544805695025</v>
      </c>
      <c r="M388" s="36" t="s">
        <v>262</v>
      </c>
      <c r="N388" s="22">
        <f t="shared" si="74"/>
        <v>2.0086846031964884</v>
      </c>
      <c r="Q388" s="36" t="s">
        <v>263</v>
      </c>
      <c r="R388" s="22">
        <f t="shared" si="75"/>
        <v>2.0080797026595278</v>
      </c>
      <c r="U388" s="36" t="s">
        <v>264</v>
      </c>
      <c r="V388" s="22">
        <f t="shared" si="76"/>
        <v>2.0077881519385143</v>
      </c>
      <c r="Y388" s="36" t="s">
        <v>265</v>
      </c>
      <c r="Z388" s="22">
        <f t="shared" si="77"/>
        <v>2.0078656486752706</v>
      </c>
      <c r="AC388" s="36" t="s">
        <v>266</v>
      </c>
      <c r="AD388" s="22">
        <f t="shared" si="78"/>
        <v>2.0083756735875187</v>
      </c>
      <c r="AG388" s="36" t="s">
        <v>267</v>
      </c>
      <c r="AH388" s="22">
        <f t="shared" si="79"/>
        <v>2.0093892302224527</v>
      </c>
      <c r="AK388" s="36" t="s">
        <v>293</v>
      </c>
      <c r="AL388" s="22">
        <f t="shared" si="80"/>
        <v>2.0109829838548507</v>
      </c>
      <c r="AO388" s="36" t="s">
        <v>294</v>
      </c>
      <c r="AP388" s="22">
        <f t="shared" si="81"/>
        <v>2.0132340415199503</v>
      </c>
      <c r="AS388" s="36" t="s">
        <v>295</v>
      </c>
      <c r="AT388" s="22">
        <f t="shared" si="82"/>
        <v>2.0162079108466213</v>
      </c>
      <c r="AW388" s="36" t="s">
        <v>296</v>
      </c>
      <c r="AX388" s="22">
        <f t="shared" si="83"/>
        <v>2.0199330434214304</v>
      </c>
      <c r="BA388" s="36" t="s">
        <v>297</v>
      </c>
      <c r="BB388" s="22">
        <f t="shared" si="84"/>
        <v>2.024350838553632</v>
      </c>
      <c r="BE388" s="36" t="s">
        <v>298</v>
      </c>
      <c r="BF388" s="22">
        <f t="shared" si="85"/>
        <v>2.0292318693449718</v>
      </c>
      <c r="BI388" s="36" t="s">
        <v>299</v>
      </c>
      <c r="BJ388" s="22">
        <f t="shared" si="86"/>
        <v>2.0341246690753376</v>
      </c>
      <c r="BM388" s="36" t="s">
        <v>300</v>
      </c>
      <c r="BN388" s="22">
        <f t="shared" si="87"/>
        <v>2.0390292661215073</v>
      </c>
      <c r="BQ388" s="36" t="s">
        <v>348</v>
      </c>
      <c r="BR388" s="22">
        <f>MAX($B$1 - BR244,0)</f>
        <v>2.0439456889286802</v>
      </c>
    </row>
    <row r="389" spans="5:70" x14ac:dyDescent="0.2">
      <c r="K389" s="36" t="s">
        <v>262</v>
      </c>
      <c r="L389" s="22">
        <f t="shared" si="74"/>
        <v>2.2027033159494818</v>
      </c>
      <c r="O389" s="36" t="s">
        <v>263</v>
      </c>
      <c r="P389" s="22">
        <f t="shared" si="75"/>
        <v>2.2040102608613976</v>
      </c>
      <c r="S389" s="36" t="s">
        <v>264</v>
      </c>
      <c r="T389" s="22">
        <f t="shared" si="76"/>
        <v>2.2056256709243365</v>
      </c>
      <c r="W389" s="36" t="s">
        <v>265</v>
      </c>
      <c r="X389" s="22">
        <f t="shared" si="77"/>
        <v>2.2075885468985521</v>
      </c>
      <c r="AA389" s="36" t="s">
        <v>266</v>
      </c>
      <c r="AB389" s="22">
        <f t="shared" si="78"/>
        <v>2.2099401237733018</v>
      </c>
      <c r="AE389" s="36" t="s">
        <v>267</v>
      </c>
      <c r="AF389" s="22">
        <f t="shared" si="79"/>
        <v>2.2127221679225864</v>
      </c>
      <c r="AI389" s="36" t="s">
        <v>293</v>
      </c>
      <c r="AJ389" s="22">
        <f t="shared" si="80"/>
        <v>2.2159736951433242</v>
      </c>
      <c r="AM389" s="36" t="s">
        <v>294</v>
      </c>
      <c r="AN389" s="22">
        <f t="shared" si="81"/>
        <v>2.2197250267224446</v>
      </c>
      <c r="AQ389" s="36" t="s">
        <v>295</v>
      </c>
      <c r="AR389" s="22">
        <f t="shared" si="82"/>
        <v>2.2239875172055066</v>
      </c>
      <c r="AU389" s="36" t="s">
        <v>296</v>
      </c>
      <c r="AV389" s="22">
        <f t="shared" si="83"/>
        <v>2.2287367982918069</v>
      </c>
      <c r="AY389" s="36" t="s">
        <v>297</v>
      </c>
      <c r="AZ389" s="22">
        <f t="shared" si="84"/>
        <v>2.2338884917797217</v>
      </c>
      <c r="BC389" s="36" t="s">
        <v>298</v>
      </c>
      <c r="BD389" s="22">
        <f t="shared" si="85"/>
        <v>2.2392747510709161</v>
      </c>
      <c r="BG389" s="36" t="s">
        <v>299</v>
      </c>
      <c r="BH389" s="22">
        <f t="shared" si="86"/>
        <v>2.2446739974871428</v>
      </c>
      <c r="BK389" s="36" t="s">
        <v>300</v>
      </c>
      <c r="BL389" s="22">
        <f t="shared" si="87"/>
        <v>2.2500862623424198</v>
      </c>
      <c r="BO389" s="36" t="s">
        <v>348</v>
      </c>
      <c r="BP389" s="22">
        <f t="shared" ref="AN389:BP403" si="88">EXP(-$B$200*1/32) * (BR388*$B$203 +BR390* $B$204)</f>
        <v>2.2555115770262675</v>
      </c>
    </row>
    <row r="390" spans="5:70" x14ac:dyDescent="0.2">
      <c r="M390" s="36" t="s">
        <v>263</v>
      </c>
      <c r="N390" s="22">
        <f t="shared" si="75"/>
        <v>2.3953994176409026</v>
      </c>
      <c r="Q390" s="36" t="s">
        <v>264</v>
      </c>
      <c r="R390" s="22">
        <f t="shared" si="76"/>
        <v>2.3985568496842573</v>
      </c>
      <c r="U390" s="36" t="s">
        <v>265</v>
      </c>
      <c r="V390" s="22">
        <f t="shared" si="77"/>
        <v>2.4020187576726642</v>
      </c>
      <c r="Y390" s="36" t="s">
        <v>266</v>
      </c>
      <c r="Z390" s="22">
        <f t="shared" si="78"/>
        <v>2.4058081007876861</v>
      </c>
      <c r="AC390" s="36" t="s">
        <v>267</v>
      </c>
      <c r="AD390" s="22">
        <f t="shared" si="79"/>
        <v>2.4099447159559122</v>
      </c>
      <c r="AG390" s="36" t="s">
        <v>293</v>
      </c>
      <c r="AH390" s="22">
        <f t="shared" si="80"/>
        <v>2.4144422170073896</v>
      </c>
      <c r="AK390" s="36" t="s">
        <v>294</v>
      </c>
      <c r="AL390" s="22">
        <f t="shared" si="81"/>
        <v>2.4193033319804549</v>
      </c>
      <c r="AO390" s="36" t="s">
        <v>295</v>
      </c>
      <c r="AP390" s="22">
        <f t="shared" si="82"/>
        <v>2.4245132455486158</v>
      </c>
      <c r="AS390" s="36" t="s">
        <v>296</v>
      </c>
      <c r="AT390" s="22">
        <f t="shared" si="83"/>
        <v>2.4300310117521744</v>
      </c>
      <c r="AW390" s="36" t="s">
        <v>297</v>
      </c>
      <c r="AX390" s="22">
        <f t="shared" si="84"/>
        <v>2.4357811654042636</v>
      </c>
      <c r="BA390" s="36" t="s">
        <v>298</v>
      </c>
      <c r="BB390" s="22">
        <f t="shared" si="85"/>
        <v>2.4416542199375377</v>
      </c>
      <c r="BE390" s="36" t="s">
        <v>299</v>
      </c>
      <c r="BF390" s="22">
        <f t="shared" si="86"/>
        <v>2.4475414353363436</v>
      </c>
      <c r="BI390" s="36" t="s">
        <v>300</v>
      </c>
      <c r="BJ390" s="22">
        <f t="shared" si="87"/>
        <v>2.4534428457447746</v>
      </c>
      <c r="BM390" s="36" t="s">
        <v>348</v>
      </c>
      <c r="BN390" s="22">
        <f t="shared" si="88"/>
        <v>2.4593584853892487</v>
      </c>
      <c r="BQ390" s="36" t="s">
        <v>349</v>
      </c>
      <c r="BR390" s="22">
        <f>MAX($B$1 - BR246,0)</f>
        <v>2.4652883885787089</v>
      </c>
    </row>
    <row r="391" spans="5:70" x14ac:dyDescent="0.2">
      <c r="O391" s="36" t="s">
        <v>264</v>
      </c>
      <c r="P391" s="22">
        <f t="shared" si="76"/>
        <v>2.5860111282061862</v>
      </c>
      <c r="S391" s="36" t="s">
        <v>265</v>
      </c>
      <c r="T391" s="22">
        <f t="shared" si="77"/>
        <v>2.5906660758408102</v>
      </c>
      <c r="W391" s="36" t="s">
        <v>266</v>
      </c>
      <c r="X391" s="22">
        <f t="shared" si="78"/>
        <v>2.5955846801171951</v>
      </c>
      <c r="AA391" s="36" t="s">
        <v>267</v>
      </c>
      <c r="AB391" s="22">
        <f t="shared" si="79"/>
        <v>2.6007722949389622</v>
      </c>
      <c r="AE391" s="36" t="s">
        <v>293</v>
      </c>
      <c r="AF391" s="22">
        <f t="shared" si="80"/>
        <v>2.606227614094339</v>
      </c>
      <c r="AI391" s="36" t="s">
        <v>294</v>
      </c>
      <c r="AJ391" s="22">
        <f t="shared" si="81"/>
        <v>2.6119397380825129</v>
      </c>
      <c r="AM391" s="36" t="s">
        <v>295</v>
      </c>
      <c r="AN391" s="22">
        <f t="shared" si="82"/>
        <v>2.6178847384151527</v>
      </c>
      <c r="AQ391" s="36" t="s">
        <v>296</v>
      </c>
      <c r="AR391" s="22">
        <f t="shared" si="83"/>
        <v>2.624022477067177</v>
      </c>
      <c r="AU391" s="36" t="s">
        <v>297</v>
      </c>
      <c r="AV391" s="22">
        <f t="shared" si="84"/>
        <v>2.6302958923026281</v>
      </c>
      <c r="AY391" s="36" t="s">
        <v>298</v>
      </c>
      <c r="AZ391" s="22">
        <f t="shared" si="85"/>
        <v>2.6366379526788015</v>
      </c>
      <c r="BC391" s="36" t="s">
        <v>299</v>
      </c>
      <c r="BD391" s="22">
        <f t="shared" si="86"/>
        <v>2.6429953047679455</v>
      </c>
      <c r="BG391" s="36" t="s">
        <v>300</v>
      </c>
      <c r="BH391" s="22">
        <f t="shared" si="87"/>
        <v>2.6493679854408052</v>
      </c>
      <c r="BK391" s="36" t="s">
        <v>348</v>
      </c>
      <c r="BL391" s="22">
        <f t="shared" si="88"/>
        <v>2.6557560316570261</v>
      </c>
      <c r="BO391" s="36" t="s">
        <v>349</v>
      </c>
      <c r="BP391" s="22">
        <f t="shared" ref="AP391:BP404" si="89">EXP(-$B$200*1/32) * (BR390*$B$203 +BR392* $B$204)</f>
        <v>2.6621594804653683</v>
      </c>
    </row>
    <row r="392" spans="5:70" x14ac:dyDescent="0.2">
      <c r="Q392" s="36" t="s">
        <v>265</v>
      </c>
      <c r="R392" s="22">
        <f t="shared" si="77"/>
        <v>2.773272193954472</v>
      </c>
      <c r="U392" s="36" t="s">
        <v>266</v>
      </c>
      <c r="V392" s="22">
        <f t="shared" si="78"/>
        <v>2.7790909879310419</v>
      </c>
      <c r="Y392" s="36" t="s">
        <v>267</v>
      </c>
      <c r="Z392" s="22">
        <f t="shared" si="79"/>
        <v>2.7851124348721368</v>
      </c>
      <c r="AC392" s="36" t="s">
        <v>293</v>
      </c>
      <c r="AD392" s="22">
        <f t="shared" si="80"/>
        <v>2.7913279066125134</v>
      </c>
      <c r="AG392" s="36" t="s">
        <v>294</v>
      </c>
      <c r="AH392" s="22">
        <f t="shared" si="81"/>
        <v>2.7977216768076163</v>
      </c>
      <c r="AK392" s="36" t="s">
        <v>295</v>
      </c>
      <c r="AL392" s="22">
        <f t="shared" si="82"/>
        <v>2.8042696520246819</v>
      </c>
      <c r="AO392" s="36" t="s">
        <v>296</v>
      </c>
      <c r="AP392" s="22">
        <f t="shared" si="83"/>
        <v>2.8109390411594539</v>
      </c>
      <c r="AS392" s="36" t="s">
        <v>297</v>
      </c>
      <c r="AT392" s="22">
        <f t="shared" si="84"/>
        <v>2.817690391792854</v>
      </c>
      <c r="AW392" s="36" t="s">
        <v>298</v>
      </c>
      <c r="AX392" s="22">
        <f t="shared" si="85"/>
        <v>2.8244842900148788</v>
      </c>
      <c r="BA392" s="36" t="s">
        <v>299</v>
      </c>
      <c r="BB392" s="22">
        <f t="shared" si="86"/>
        <v>2.8312945694025502</v>
      </c>
      <c r="BE392" s="36" t="s">
        <v>300</v>
      </c>
      <c r="BF392" s="22">
        <f t="shared" si="87"/>
        <v>2.8381212694534561</v>
      </c>
      <c r="BI392" s="36" t="s">
        <v>348</v>
      </c>
      <c r="BJ392" s="22">
        <f t="shared" si="88"/>
        <v>2.8449644297604197</v>
      </c>
      <c r="BM392" s="36" t="s">
        <v>349</v>
      </c>
      <c r="BN392" s="22">
        <f t="shared" si="89"/>
        <v>2.8518240900117267</v>
      </c>
      <c r="BQ392" s="36" t="s">
        <v>350</v>
      </c>
      <c r="BR392" s="22">
        <f>MAX($B$1 - BR248,0)</f>
        <v>2.8587002899913596</v>
      </c>
    </row>
    <row r="393" spans="5:70" x14ac:dyDescent="0.2">
      <c r="S393" s="36" t="s">
        <v>266</v>
      </c>
      <c r="T393" s="22">
        <f t="shared" si="78"/>
        <v>2.9562921845033454</v>
      </c>
      <c r="W393" s="36" t="s">
        <v>267</v>
      </c>
      <c r="X393" s="22">
        <f t="shared" si="79"/>
        <v>2.9629946050621112</v>
      </c>
      <c r="AA393" s="36" t="s">
        <v>293</v>
      </c>
      <c r="AB393" s="22">
        <f t="shared" si="80"/>
        <v>2.9698360382389208</v>
      </c>
      <c r="AE393" s="36" t="s">
        <v>294</v>
      </c>
      <c r="AF393" s="22">
        <f t="shared" si="81"/>
        <v>2.9768007603212583</v>
      </c>
      <c r="AI393" s="36" t="s">
        <v>295</v>
      </c>
      <c r="AJ393" s="22">
        <f t="shared" si="82"/>
        <v>2.9838683435924898</v>
      </c>
      <c r="AM393" s="36" t="s">
        <v>296</v>
      </c>
      <c r="AN393" s="22">
        <f t="shared" si="83"/>
        <v>2.9910144781567904</v>
      </c>
      <c r="AQ393" s="36" t="s">
        <v>297</v>
      </c>
      <c r="AR393" s="22">
        <f t="shared" si="84"/>
        <v>2.9982133944569278</v>
      </c>
      <c r="AU393" s="36" t="s">
        <v>298</v>
      </c>
      <c r="AV393" s="22">
        <f t="shared" si="85"/>
        <v>3.0054425622566199</v>
      </c>
      <c r="AY393" s="36" t="s">
        <v>299</v>
      </c>
      <c r="AZ393" s="22">
        <f t="shared" si="86"/>
        <v>3.0126891607259139</v>
      </c>
      <c r="BC393" s="36" t="s">
        <v>300</v>
      </c>
      <c r="BD393" s="22">
        <f t="shared" si="87"/>
        <v>3.0199532318929183</v>
      </c>
      <c r="BG393" s="36" t="s">
        <v>348</v>
      </c>
      <c r="BH393" s="22">
        <f t="shared" si="88"/>
        <v>3.0272348178870763</v>
      </c>
      <c r="BK393" s="36" t="s">
        <v>349</v>
      </c>
      <c r="BL393" s="22">
        <f t="shared" si="89"/>
        <v>3.034533960939414</v>
      </c>
      <c r="BO393" s="36" t="s">
        <v>350</v>
      </c>
      <c r="BP393" s="22">
        <f t="shared" ref="AR393:BP405" si="90">EXP(-$B$200*1/32) * (BR392*$B$203 +BR394* $B$204)</f>
        <v>3.0418507033827815</v>
      </c>
    </row>
    <row r="394" spans="5:70" x14ac:dyDescent="0.2">
      <c r="U394" s="36" t="s">
        <v>267</v>
      </c>
      <c r="V394" s="22">
        <f t="shared" si="79"/>
        <v>3.1345230614872159</v>
      </c>
      <c r="Y394" s="36" t="s">
        <v>293</v>
      </c>
      <c r="Z394" s="22">
        <f t="shared" si="80"/>
        <v>3.1418993764276983</v>
      </c>
      <c r="AC394" s="36" t="s">
        <v>294</v>
      </c>
      <c r="AD394" s="22">
        <f t="shared" si="81"/>
        <v>3.1493618757791726</v>
      </c>
      <c r="AG394" s="36" t="s">
        <v>295</v>
      </c>
      <c r="AH394" s="22">
        <f t="shared" si="82"/>
        <v>3.1568948011215778</v>
      </c>
      <c r="AK394" s="36" t="s">
        <v>296</v>
      </c>
      <c r="AL394" s="22">
        <f t="shared" si="83"/>
        <v>3.1644812184760487</v>
      </c>
      <c r="AO394" s="36" t="s">
        <v>297</v>
      </c>
      <c r="AP394" s="22">
        <f t="shared" si="84"/>
        <v>3.1721049556335572</v>
      </c>
      <c r="AS394" s="36" t="s">
        <v>298</v>
      </c>
      <c r="AT394" s="22">
        <f t="shared" si="85"/>
        <v>3.1797534035542108</v>
      </c>
      <c r="AW394" s="36" t="s">
        <v>299</v>
      </c>
      <c r="AX394" s="22">
        <f t="shared" si="86"/>
        <v>3.1874202930953062</v>
      </c>
      <c r="BA394" s="36" t="s">
        <v>300</v>
      </c>
      <c r="BB394" s="22">
        <f t="shared" si="87"/>
        <v>3.1951056687225146</v>
      </c>
      <c r="BE394" s="36" t="s">
        <v>348</v>
      </c>
      <c r="BF394" s="22">
        <f t="shared" si="88"/>
        <v>3.2028095750087204</v>
      </c>
      <c r="BI394" s="36" t="s">
        <v>349</v>
      </c>
      <c r="BJ394" s="22">
        <f t="shared" si="89"/>
        <v>3.2105320566342792</v>
      </c>
      <c r="BM394" s="36" t="s">
        <v>350</v>
      </c>
      <c r="BN394" s="22">
        <f t="shared" si="90"/>
        <v>3.2182731583872797</v>
      </c>
      <c r="BQ394" s="36" t="s">
        <v>351</v>
      </c>
      <c r="BR394" s="22">
        <f>MAX($B$1 - BR250,0)</f>
        <v>3.2260329251637998</v>
      </c>
    </row>
    <row r="395" spans="5:70" x14ac:dyDescent="0.2">
      <c r="W395" s="36" t="s">
        <v>293</v>
      </c>
      <c r="X395" s="22">
        <f t="shared" si="80"/>
        <v>3.3076946895162234</v>
      </c>
      <c r="AA395" s="36" t="s">
        <v>294</v>
      </c>
      <c r="AB395" s="22">
        <f t="shared" si="81"/>
        <v>3.3156053287348568</v>
      </c>
      <c r="AE395" s="36" t="s">
        <v>295</v>
      </c>
      <c r="AF395" s="22">
        <f t="shared" si="82"/>
        <v>3.3235665029626138</v>
      </c>
      <c r="AI395" s="36" t="s">
        <v>296</v>
      </c>
      <c r="AJ395" s="22">
        <f t="shared" si="83"/>
        <v>3.3315669283256217</v>
      </c>
      <c r="AM395" s="36" t="s">
        <v>297</v>
      </c>
      <c r="AN395" s="22">
        <f t="shared" si="84"/>
        <v>3.3395967579775361</v>
      </c>
      <c r="AQ395" s="36" t="s">
        <v>298</v>
      </c>
      <c r="AR395" s="22">
        <f t="shared" si="85"/>
        <v>3.3476490551860536</v>
      </c>
      <c r="AU395" s="36" t="s">
        <v>299</v>
      </c>
      <c r="AV395" s="22">
        <f t="shared" si="86"/>
        <v>3.355720767759669</v>
      </c>
      <c r="AY395" s="36" t="s">
        <v>300</v>
      </c>
      <c r="AZ395" s="22">
        <f t="shared" si="87"/>
        <v>3.3638119425119051</v>
      </c>
      <c r="BC395" s="36" t="s">
        <v>348</v>
      </c>
      <c r="BD395" s="22">
        <f t="shared" si="88"/>
        <v>3.3719226263691597</v>
      </c>
      <c r="BG395" s="36" t="s">
        <v>349</v>
      </c>
      <c r="BH395" s="22">
        <f t="shared" si="89"/>
        <v>3.3800528663709781</v>
      </c>
      <c r="BK395" s="36" t="s">
        <v>350</v>
      </c>
      <c r="BL395" s="22">
        <f t="shared" si="90"/>
        <v>3.3882027096703244</v>
      </c>
      <c r="BO395" s="36" t="s">
        <v>351</v>
      </c>
      <c r="BP395" s="22">
        <f t="shared" ref="AT395:BP406" si="91">EXP(-$B$200*1/32) * (BR394*$B$203 +BR396* $B$204)</f>
        <v>3.3963722035338573</v>
      </c>
    </row>
    <row r="396" spans="5:70" x14ac:dyDescent="0.2">
      <c r="Y396" s="36" t="s">
        <v>294</v>
      </c>
      <c r="Z396" s="22">
        <f t="shared" si="81"/>
        <v>3.4757367159883006</v>
      </c>
      <c r="AC396" s="36" t="s">
        <v>295</v>
      </c>
      <c r="AD396" s="22">
        <f t="shared" si="82"/>
        <v>3.4840991278034155</v>
      </c>
      <c r="AG396" s="36" t="s">
        <v>296</v>
      </c>
      <c r="AH396" s="22">
        <f t="shared" si="83"/>
        <v>3.4924929739579653</v>
      </c>
      <c r="AK396" s="36" t="s">
        <v>297</v>
      </c>
      <c r="AL396" s="22">
        <f t="shared" si="84"/>
        <v>3.5009124034670092</v>
      </c>
      <c r="AO396" s="36" t="s">
        <v>298</v>
      </c>
      <c r="AP396" s="22">
        <f t="shared" si="85"/>
        <v>3.5093536582701113</v>
      </c>
      <c r="AS396" s="36" t="s">
        <v>299</v>
      </c>
      <c r="AT396" s="22">
        <f t="shared" si="86"/>
        <v>3.5178152662767328</v>
      </c>
      <c r="AW396" s="36" t="s">
        <v>300</v>
      </c>
      <c r="AX396" s="22">
        <f t="shared" si="87"/>
        <v>3.526297276561674</v>
      </c>
      <c r="BA396" s="36" t="s">
        <v>348</v>
      </c>
      <c r="BB396" s="22">
        <f t="shared" si="88"/>
        <v>3.5347997383180623</v>
      </c>
      <c r="BE396" s="36" t="s">
        <v>349</v>
      </c>
      <c r="BF396" s="22">
        <f t="shared" si="89"/>
        <v>3.5433227008576371</v>
      </c>
      <c r="BI396" s="36" t="s">
        <v>350</v>
      </c>
      <c r="BJ396" s="22">
        <f t="shared" si="90"/>
        <v>3.5518662136110373</v>
      </c>
      <c r="BM396" s="36" t="s">
        <v>351</v>
      </c>
      <c r="BN396" s="22">
        <f t="shared" si="91"/>
        <v>3.5604303261280856</v>
      </c>
      <c r="BQ396" s="36" t="s">
        <v>352</v>
      </c>
      <c r="BR396" s="22">
        <f>MAX($B$1 - BR252,0)</f>
        <v>3.5690150880780793</v>
      </c>
    </row>
    <row r="397" spans="5:70" x14ac:dyDescent="0.2">
      <c r="AA397" s="36" t="s">
        <v>295</v>
      </c>
      <c r="AB397" s="22">
        <f t="shared" si="82"/>
        <v>3.638703872381948</v>
      </c>
      <c r="AE397" s="36" t="s">
        <v>296</v>
      </c>
      <c r="AF397" s="22">
        <f t="shared" si="83"/>
        <v>3.6474738060322291</v>
      </c>
      <c r="AI397" s="36" t="s">
        <v>297</v>
      </c>
      <c r="AJ397" s="22">
        <f t="shared" si="84"/>
        <v>3.6562676952266626</v>
      </c>
      <c r="AM397" s="36" t="s">
        <v>298</v>
      </c>
      <c r="AN397" s="22">
        <f t="shared" si="85"/>
        <v>3.6650835362666143</v>
      </c>
      <c r="AQ397" s="36" t="s">
        <v>299</v>
      </c>
      <c r="AR397" s="22">
        <f t="shared" si="86"/>
        <v>3.6739206336968855</v>
      </c>
      <c r="AU397" s="36" t="s">
        <v>300</v>
      </c>
      <c r="AV397" s="22">
        <f t="shared" si="87"/>
        <v>3.6827790387700023</v>
      </c>
      <c r="AY397" s="36" t="s">
        <v>348</v>
      </c>
      <c r="AZ397" s="22">
        <f t="shared" si="88"/>
        <v>3.6916588028620705</v>
      </c>
      <c r="BC397" s="36" t="s">
        <v>349</v>
      </c>
      <c r="BD397" s="22">
        <f t="shared" si="89"/>
        <v>3.7005599774730702</v>
      </c>
      <c r="BG397" s="36" t="s">
        <v>350</v>
      </c>
      <c r="BH397" s="22">
        <f t="shared" si="90"/>
        <v>3.7094826142271566</v>
      </c>
      <c r="BK397" s="36" t="s">
        <v>351</v>
      </c>
      <c r="BL397" s="22">
        <f t="shared" si="91"/>
        <v>3.7184267648729601</v>
      </c>
      <c r="BO397" s="36" t="s">
        <v>352</v>
      </c>
      <c r="BP397" s="22">
        <f t="shared" ref="AV397:BP407" si="92">EXP(-$B$200*1/32) * (BR396*$B$203 +BR398* $B$204)</f>
        <v>3.7273924812838835</v>
      </c>
    </row>
    <row r="398" spans="5:70" x14ac:dyDescent="0.2">
      <c r="AC398" s="36" t="s">
        <v>296</v>
      </c>
      <c r="AD398" s="22">
        <f t="shared" si="83"/>
        <v>3.7967167907812707</v>
      </c>
      <c r="AG398" s="36" t="s">
        <v>297</v>
      </c>
      <c r="AH398" s="22">
        <f t="shared" si="84"/>
        <v>3.8058709095220151</v>
      </c>
      <c r="AK398" s="36" t="s">
        <v>298</v>
      </c>
      <c r="AL398" s="22">
        <f t="shared" si="85"/>
        <v>3.8150474676281747</v>
      </c>
      <c r="AO398" s="36" t="s">
        <v>299</v>
      </c>
      <c r="AP398" s="22">
        <f t="shared" si="86"/>
        <v>3.8242461518706845</v>
      </c>
      <c r="AS398" s="36" t="s">
        <v>300</v>
      </c>
      <c r="AT398" s="22">
        <f t="shared" si="87"/>
        <v>3.833467015599167</v>
      </c>
      <c r="AW398" s="36" t="s">
        <v>348</v>
      </c>
      <c r="AX398" s="22">
        <f t="shared" si="88"/>
        <v>3.8427101122918792</v>
      </c>
      <c r="BA398" s="36" t="s">
        <v>349</v>
      </c>
      <c r="BB398" s="22">
        <f t="shared" si="89"/>
        <v>3.8519754955560219</v>
      </c>
      <c r="BE398" s="36" t="s">
        <v>350</v>
      </c>
      <c r="BF398" s="22">
        <f t="shared" si="90"/>
        <v>3.8612632191280527</v>
      </c>
      <c r="BI398" s="36" t="s">
        <v>351</v>
      </c>
      <c r="BJ398" s="22">
        <f t="shared" si="91"/>
        <v>3.8705733368739943</v>
      </c>
      <c r="BM398" s="36" t="s">
        <v>352</v>
      </c>
      <c r="BN398" s="22">
        <f t="shared" si="92"/>
        <v>3.8799059027897518</v>
      </c>
      <c r="BQ398" s="36" t="s">
        <v>353</v>
      </c>
      <c r="BR398" s="22">
        <f>MAX($B$1 - BR254,0)</f>
        <v>3.889260971001419</v>
      </c>
    </row>
    <row r="399" spans="5:70" x14ac:dyDescent="0.2">
      <c r="AE399" s="36" t="s">
        <v>297</v>
      </c>
      <c r="AF399" s="22">
        <f t="shared" si="84"/>
        <v>3.9499230582675979</v>
      </c>
      <c r="AI399" s="36" t="s">
        <v>298</v>
      </c>
      <c r="AJ399" s="22">
        <f t="shared" si="85"/>
        <v>3.9594469489409172</v>
      </c>
      <c r="AM399" s="36" t="s">
        <v>299</v>
      </c>
      <c r="AN399" s="22">
        <f t="shared" si="86"/>
        <v>3.968993803224468</v>
      </c>
      <c r="AQ399" s="36" t="s">
        <v>300</v>
      </c>
      <c r="AR399" s="22">
        <f t="shared" si="87"/>
        <v>3.9785636764871555</v>
      </c>
      <c r="AU399" s="36" t="s">
        <v>348</v>
      </c>
      <c r="AV399" s="22">
        <f t="shared" si="88"/>
        <v>3.9881566242313884</v>
      </c>
      <c r="AY399" s="36" t="s">
        <v>349</v>
      </c>
      <c r="AZ399" s="22">
        <f t="shared" si="89"/>
        <v>3.9977727020933993</v>
      </c>
      <c r="BC399" s="36" t="s">
        <v>350</v>
      </c>
      <c r="BD399" s="22">
        <f t="shared" si="90"/>
        <v>4.0074119658435681</v>
      </c>
      <c r="BG399" s="36" t="s">
        <v>351</v>
      </c>
      <c r="BH399" s="22">
        <f t="shared" si="91"/>
        <v>4.0170744713867474</v>
      </c>
      <c r="BK399" s="36" t="s">
        <v>352</v>
      </c>
      <c r="BL399" s="22">
        <f t="shared" si="92"/>
        <v>4.0267602747625846</v>
      </c>
      <c r="BO399" s="36" t="s">
        <v>353</v>
      </c>
      <c r="BP399" s="22">
        <f t="shared" ref="AX399:BP408" si="93">EXP(-$B$200*1/32) * (BR398*$B$203 +BR400* $B$204)</f>
        <v>4.0364694321458483</v>
      </c>
    </row>
    <row r="400" spans="5:70" x14ac:dyDescent="0.2">
      <c r="AG400" s="36" t="s">
        <v>298</v>
      </c>
      <c r="AH400" s="22">
        <f t="shared" si="85"/>
        <v>4.098476448888273</v>
      </c>
      <c r="AK400" s="36" t="s">
        <v>299</v>
      </c>
      <c r="AL400" s="22">
        <f t="shared" si="86"/>
        <v>4.1083585253364925</v>
      </c>
      <c r="AO400" s="36" t="s">
        <v>300</v>
      </c>
      <c r="AP400" s="22">
        <f t="shared" si="87"/>
        <v>4.1182644290376293</v>
      </c>
      <c r="AS400" s="36" t="s">
        <v>348</v>
      </c>
      <c r="AT400" s="22">
        <f t="shared" si="88"/>
        <v>4.1281942174429691</v>
      </c>
      <c r="AW400" s="36" t="s">
        <v>349</v>
      </c>
      <c r="AX400" s="22">
        <f t="shared" si="89"/>
        <v>4.1381479481423211</v>
      </c>
      <c r="BA400" s="36" t="s">
        <v>350</v>
      </c>
      <c r="BB400" s="22">
        <f t="shared" si="90"/>
        <v>4.1481256788643499</v>
      </c>
      <c r="BE400" s="36" t="s">
        <v>351</v>
      </c>
      <c r="BF400" s="22">
        <f t="shared" si="91"/>
        <v>4.1581274674769153</v>
      </c>
      <c r="BI400" s="36" t="s">
        <v>352</v>
      </c>
      <c r="BJ400" s="22">
        <f t="shared" si="92"/>
        <v>4.1681533719874047</v>
      </c>
      <c r="BM400" s="36" t="s">
        <v>353</v>
      </c>
      <c r="BN400" s="22">
        <f t="shared" si="93"/>
        <v>4.1782034505430721</v>
      </c>
      <c r="BQ400" s="36" t="s">
        <v>354</v>
      </c>
      <c r="BR400" s="22">
        <f>MAX($B$1 - BR256,0)</f>
        <v>4.1882777614313742</v>
      </c>
    </row>
    <row r="401" spans="35:70" x14ac:dyDescent="0.2">
      <c r="AI401" s="36" t="s">
        <v>299</v>
      </c>
      <c r="AJ401" s="22">
        <f t="shared" si="86"/>
        <v>4.2425284566344459</v>
      </c>
      <c r="AM401" s="36" t="s">
        <v>300</v>
      </c>
      <c r="AN401" s="22">
        <f t="shared" si="87"/>
        <v>4.2527578653098521</v>
      </c>
      <c r="AQ401" s="36" t="s">
        <v>348</v>
      </c>
      <c r="AR401" s="22">
        <f t="shared" si="88"/>
        <v>4.2630119387112391</v>
      </c>
      <c r="AU401" s="36" t="s">
        <v>349</v>
      </c>
      <c r="AV401" s="22">
        <f t="shared" si="89"/>
        <v>4.2732907363091712</v>
      </c>
      <c r="AY401" s="36" t="s">
        <v>350</v>
      </c>
      <c r="AZ401" s="22">
        <f t="shared" si="90"/>
        <v>4.2835943177176059</v>
      </c>
      <c r="BC401" s="36" t="s">
        <v>351</v>
      </c>
      <c r="BD401" s="22">
        <f t="shared" si="91"/>
        <v>4.2939227426942397</v>
      </c>
      <c r="BG401" s="36" t="s">
        <v>352</v>
      </c>
      <c r="BH401" s="22">
        <f t="shared" si="92"/>
        <v>4.3042760711408539</v>
      </c>
      <c r="BK401" s="36" t="s">
        <v>353</v>
      </c>
      <c r="BL401" s="22">
        <f t="shared" si="93"/>
        <v>4.3146543631036609</v>
      </c>
      <c r="BO401" s="36" t="s">
        <v>354</v>
      </c>
      <c r="BP401" s="22">
        <f t="shared" ref="AZ401:BP409" si="94">EXP(-$B$200*1/32) * (BR400*$B$203 +BR402* $B$204)</f>
        <v>4.3250576787736579</v>
      </c>
    </row>
    <row r="402" spans="35:70" x14ac:dyDescent="0.2">
      <c r="AK402" s="36" t="s">
        <v>300</v>
      </c>
      <c r="AL402" s="22">
        <f t="shared" si="87"/>
        <v>4.3822259995189805</v>
      </c>
      <c r="AO402" s="36" t="s">
        <v>348</v>
      </c>
      <c r="AP402" s="22">
        <f t="shared" si="88"/>
        <v>4.3927922411164806</v>
      </c>
      <c r="AS402" s="36" t="s">
        <v>349</v>
      </c>
      <c r="AT402" s="22">
        <f t="shared" si="89"/>
        <v>4.4033839595975346</v>
      </c>
      <c r="AW402" s="36" t="s">
        <v>350</v>
      </c>
      <c r="AX402" s="22">
        <f t="shared" si="90"/>
        <v>4.4140012163909486</v>
      </c>
      <c r="BA402" s="36" t="s">
        <v>351</v>
      </c>
      <c r="BB402" s="22">
        <f t="shared" si="91"/>
        <v>4.4246440730736394</v>
      </c>
      <c r="BE402" s="36" t="s">
        <v>352</v>
      </c>
      <c r="BF402" s="22">
        <f t="shared" si="92"/>
        <v>4.4353125913710025</v>
      </c>
      <c r="BI402" s="36" t="s">
        <v>353</v>
      </c>
      <c r="BJ402" s="22">
        <f t="shared" si="93"/>
        <v>4.4460068331572549</v>
      </c>
      <c r="BM402" s="36" t="s">
        <v>354</v>
      </c>
      <c r="BN402" s="22">
        <f t="shared" si="94"/>
        <v>4.4567268604558095</v>
      </c>
      <c r="BQ402" s="36" t="s">
        <v>355</v>
      </c>
      <c r="BR402" s="22">
        <f>MAX($B$1 - BR258,0)</f>
        <v>4.4674727354396229</v>
      </c>
    </row>
    <row r="403" spans="35:70" x14ac:dyDescent="0.2">
      <c r="AM403" s="36" t="s">
        <v>348</v>
      </c>
      <c r="AN403" s="22">
        <f t="shared" si="88"/>
        <v>4.5177112139980196</v>
      </c>
      <c r="AQ403" s="36" t="s">
        <v>349</v>
      </c>
      <c r="AR403" s="22">
        <f t="shared" si="89"/>
        <v>4.5286041319260493</v>
      </c>
      <c r="AU403" s="36" t="s">
        <v>350</v>
      </c>
      <c r="AV403" s="22">
        <f t="shared" si="90"/>
        <v>4.5395233144060541</v>
      </c>
      <c r="AY403" s="36" t="s">
        <v>351</v>
      </c>
      <c r="AZ403" s="22">
        <f t="shared" si="91"/>
        <v>4.5504688247660328</v>
      </c>
      <c r="BC403" s="36" t="s">
        <v>352</v>
      </c>
      <c r="BD403" s="22">
        <f t="shared" si="92"/>
        <v>4.5614407264866754</v>
      </c>
      <c r="BG403" s="36" t="s">
        <v>353</v>
      </c>
      <c r="BH403" s="22">
        <f t="shared" si="93"/>
        <v>4.5724390832017399</v>
      </c>
      <c r="BK403" s="36" t="s">
        <v>354</v>
      </c>
      <c r="BL403" s="22">
        <f t="shared" si="94"/>
        <v>4.5834639586984078</v>
      </c>
      <c r="BO403" s="36" t="s">
        <v>355</v>
      </c>
      <c r="BP403" s="22">
        <f t="shared" ref="BB403:BP410" si="95">EXP(-$B$200*1/32) * (BR402*$B$203 +BR404* $B$204)</f>
        <v>4.5945154169176687</v>
      </c>
    </row>
    <row r="404" spans="35:70" x14ac:dyDescent="0.2">
      <c r="AO404" s="36" t="s">
        <v>349</v>
      </c>
      <c r="AP404" s="22">
        <f t="shared" si="89"/>
        <v>4.6491216106066906</v>
      </c>
      <c r="AS404" s="36" t="s">
        <v>350</v>
      </c>
      <c r="AT404" s="22">
        <f t="shared" si="90"/>
        <v>4.6603313798333854</v>
      </c>
      <c r="AW404" s="36" t="s">
        <v>351</v>
      </c>
      <c r="AX404" s="22">
        <f t="shared" si="91"/>
        <v>4.6715681775907667</v>
      </c>
      <c r="BA404" s="36" t="s">
        <v>352</v>
      </c>
      <c r="BB404" s="22">
        <f t="shared" si="92"/>
        <v>4.6828320690489056</v>
      </c>
      <c r="BE404" s="36" t="s">
        <v>353</v>
      </c>
      <c r="BF404" s="22">
        <f t="shared" si="93"/>
        <v>4.6941231195350106</v>
      </c>
      <c r="BI404" s="36" t="s">
        <v>354</v>
      </c>
      <c r="BJ404" s="22">
        <f t="shared" si="94"/>
        <v>4.7054413945338052</v>
      </c>
      <c r="BM404" s="36" t="s">
        <v>355</v>
      </c>
      <c r="BN404" s="22">
        <f t="shared" si="95"/>
        <v>4.7167869596879015</v>
      </c>
      <c r="BQ404" s="36" t="s">
        <v>356</v>
      </c>
      <c r="BR404" s="22">
        <f>MAX($B$1 - BR260,0)</f>
        <v>4.728159880798195</v>
      </c>
    </row>
    <row r="405" spans="35:70" x14ac:dyDescent="0.2">
      <c r="AQ405" s="36" t="s">
        <v>350</v>
      </c>
      <c r="AR405" s="22">
        <f t="shared" si="90"/>
        <v>4.7765902245290102</v>
      </c>
      <c r="AU405" s="36" t="s">
        <v>351</v>
      </c>
      <c r="AV405" s="22">
        <f t="shared" si="91"/>
        <v>4.7881073407914236</v>
      </c>
      <c r="AY405" s="36" t="s">
        <v>352</v>
      </c>
      <c r="AZ405" s="22">
        <f t="shared" si="92"/>
        <v>4.7996522266469501</v>
      </c>
      <c r="BC405" s="36" t="s">
        <v>353</v>
      </c>
      <c r="BD405" s="22">
        <f t="shared" si="93"/>
        <v>4.8112249490524812</v>
      </c>
      <c r="BG405" s="36" t="s">
        <v>354</v>
      </c>
      <c r="BH405" s="22">
        <f t="shared" si="94"/>
        <v>4.8228255751263509</v>
      </c>
      <c r="BK405" s="36" t="s">
        <v>355</v>
      </c>
      <c r="BL405" s="22">
        <f t="shared" si="95"/>
        <v>4.8344541721487282</v>
      </c>
      <c r="BO405" s="36" t="s">
        <v>356</v>
      </c>
      <c r="BP405" s="22">
        <f t="shared" ref="BD405:BP411" si="96">EXP(-$B$200*1/32) * (BR404*$B$203 +BR406* $B$204)</f>
        <v>4.8461108075620025</v>
      </c>
    </row>
    <row r="406" spans="35:70" x14ac:dyDescent="0.2">
      <c r="AS406" s="36" t="s">
        <v>351</v>
      </c>
      <c r="AT406" s="22">
        <f t="shared" si="91"/>
        <v>4.9002457612668913</v>
      </c>
      <c r="AW406" s="36" t="s">
        <v>352</v>
      </c>
      <c r="AX406" s="22">
        <f t="shared" si="92"/>
        <v>4.9120610306314454</v>
      </c>
      <c r="BA406" s="36" t="s">
        <v>353</v>
      </c>
      <c r="BB406" s="22">
        <f t="shared" si="93"/>
        <v>4.923904788483509</v>
      </c>
      <c r="BE406" s="36" t="s">
        <v>354</v>
      </c>
      <c r="BF406" s="22">
        <f t="shared" si="94"/>
        <v>4.93577710351334</v>
      </c>
      <c r="BI406" s="36" t="s">
        <v>355</v>
      </c>
      <c r="BJ406" s="22">
        <f t="shared" si="95"/>
        <v>4.9476780445768211</v>
      </c>
      <c r="BM406" s="36" t="s">
        <v>356</v>
      </c>
      <c r="BN406" s="22">
        <f t="shared" si="96"/>
        <v>4.9596076806958598</v>
      </c>
      <c r="BQ406" s="36" t="s">
        <v>357</v>
      </c>
      <c r="BR406" s="22">
        <f>MAX($B$1 - BR262,0)</f>
        <v>4.9715660810587803</v>
      </c>
    </row>
    <row r="407" spans="35:70" x14ac:dyDescent="0.2">
      <c r="AU407" s="36" t="s">
        <v>352</v>
      </c>
      <c r="AV407" s="22">
        <f t="shared" si="92"/>
        <v>5.0202127375677525</v>
      </c>
      <c r="AY407" s="36" t="s">
        <v>353</v>
      </c>
      <c r="AZ407" s="22">
        <f t="shared" si="93"/>
        <v>5.0323172663304891</v>
      </c>
      <c r="BC407" s="36" t="s">
        <v>354</v>
      </c>
      <c r="BD407" s="22">
        <f t="shared" si="94"/>
        <v>5.044450981030999</v>
      </c>
      <c r="BG407" s="36" t="s">
        <v>355</v>
      </c>
      <c r="BH407" s="22">
        <f t="shared" si="95"/>
        <v>5.0566139520412055</v>
      </c>
      <c r="BK407" s="36" t="s">
        <v>356</v>
      </c>
      <c r="BL407" s="22">
        <f t="shared" si="96"/>
        <v>5.0688062499027087</v>
      </c>
      <c r="BO407" s="36" t="s">
        <v>357</v>
      </c>
      <c r="BP407" s="22">
        <f t="shared" ref="BF407:BP412" si="97">EXP(-$B$200*1/32) * (BR406*$B$203 +BR408* $B$204)</f>
        <v>5.0810279453271958</v>
      </c>
    </row>
    <row r="408" spans="35:70" x14ac:dyDescent="0.2">
      <c r="AW408" s="36" t="s">
        <v>353</v>
      </c>
      <c r="AX408" s="22">
        <f t="shared" si="93"/>
        <v>5.1366116177650829</v>
      </c>
      <c r="BA408" s="36" t="s">
        <v>354</v>
      </c>
      <c r="BB408" s="22">
        <f t="shared" si="94"/>
        <v>5.1489968026806459</v>
      </c>
      <c r="BE408" s="36" t="s">
        <v>355</v>
      </c>
      <c r="BF408" s="22">
        <f t="shared" si="95"/>
        <v>5.1614118502404605</v>
      </c>
      <c r="BI408" s="36" t="s">
        <v>356</v>
      </c>
      <c r="BJ408" s="22">
        <f t="shared" si="96"/>
        <v>5.1738568324480934</v>
      </c>
      <c r="BM408" s="36" t="s">
        <v>357</v>
      </c>
      <c r="BN408" s="22">
        <f t="shared" si="97"/>
        <v>5.1863318214807279</v>
      </c>
      <c r="BQ408" s="36" t="s">
        <v>358</v>
      </c>
      <c r="BR408" s="22">
        <f>MAX($B$1 - BR264,0)</f>
        <v>5.1988368896895754</v>
      </c>
    </row>
    <row r="409" spans="35:70" x14ac:dyDescent="0.2">
      <c r="AY409" s="36" t="s">
        <v>354</v>
      </c>
      <c r="AZ409" s="22">
        <f t="shared" si="94"/>
        <v>5.2495589456812359</v>
      </c>
      <c r="BC409" s="36" t="s">
        <v>355</v>
      </c>
      <c r="BD409" s="22">
        <f t="shared" si="95"/>
        <v>5.2622164645099048</v>
      </c>
      <c r="BG409" s="36" t="s">
        <v>356</v>
      </c>
      <c r="BH409" s="22">
        <f t="shared" si="96"/>
        <v>5.274904502623059</v>
      </c>
      <c r="BK409" s="36" t="s">
        <v>357</v>
      </c>
      <c r="BL409" s="22">
        <f t="shared" si="97"/>
        <v>5.2876231336075348</v>
      </c>
      <c r="BO409" s="36" t="s">
        <v>358</v>
      </c>
      <c r="BP409" s="22">
        <f t="shared" ref="BH409:BP413" si="98">EXP(-$B$200*1/32) * (BR408*$B$203 +BR410* $B$204)</f>
        <v>5.3003724312275944</v>
      </c>
    </row>
    <row r="410" spans="35:70" x14ac:dyDescent="0.2">
      <c r="BA410" s="36" t="s">
        <v>355</v>
      </c>
      <c r="BB410" s="22">
        <f t="shared" si="95"/>
        <v>5.3591674722369307</v>
      </c>
      <c r="BE410" s="36" t="s">
        <v>356</v>
      </c>
      <c r="BF410" s="22">
        <f t="shared" si="96"/>
        <v>5.3720892745993218</v>
      </c>
      <c r="BI410" s="36" t="s">
        <v>357</v>
      </c>
      <c r="BJ410" s="22">
        <f t="shared" si="97"/>
        <v>5.3850422334756978</v>
      </c>
      <c r="BM410" s="36" t="s">
        <v>358</v>
      </c>
      <c r="BN410" s="22">
        <f t="shared" si="98"/>
        <v>5.3980264239893527</v>
      </c>
      <c r="BQ410" s="36" t="s">
        <v>359</v>
      </c>
      <c r="BR410" s="22">
        <f>MAX($B$1 - BR266,0)</f>
        <v>5.4110419214447152</v>
      </c>
    </row>
    <row r="411" spans="35:70" x14ac:dyDescent="0.2">
      <c r="BC411" s="36" t="s">
        <v>356</v>
      </c>
      <c r="BD411" s="22">
        <f t="shared" si="96"/>
        <v>5.4655462789071638</v>
      </c>
      <c r="BG411" s="36" t="s">
        <v>357</v>
      </c>
      <c r="BH411" s="22">
        <f t="shared" si="97"/>
        <v>5.4787245774366298</v>
      </c>
      <c r="BK411" s="36" t="s">
        <v>358</v>
      </c>
      <c r="BL411" s="22">
        <f t="shared" si="98"/>
        <v>5.4919346509330014</v>
      </c>
      <c r="BO411" s="36" t="s">
        <v>359</v>
      </c>
      <c r="BP411" s="22">
        <f t="shared" ref="BJ411:BP414" si="99">EXP(-$B$200*1/32) * (BR410*$B$203 +BR412* $B$204)</f>
        <v>5.5051765760107614</v>
      </c>
    </row>
    <row r="412" spans="35:70" x14ac:dyDescent="0.2">
      <c r="BE412" s="36" t="s">
        <v>357</v>
      </c>
      <c r="BF412" s="22">
        <f t="shared" si="97"/>
        <v>5.5688008971587788</v>
      </c>
      <c r="BI412" s="36" t="s">
        <v>358</v>
      </c>
      <c r="BJ412" s="22">
        <f t="shared" si="98"/>
        <v>5.5822281589417653</v>
      </c>
      <c r="BM412" s="36" t="s">
        <v>359</v>
      </c>
      <c r="BN412" s="22">
        <f t="shared" si="99"/>
        <v>5.5956877959815312</v>
      </c>
      <c r="BQ412" s="36" t="s">
        <v>360</v>
      </c>
      <c r="BR412" s="22">
        <f>MAX($B$1 - BR268,0)</f>
        <v>5.60917988633995</v>
      </c>
    </row>
    <row r="413" spans="35:70" x14ac:dyDescent="0.2">
      <c r="BG413" s="36" t="s">
        <v>358</v>
      </c>
      <c r="BH413" s="22">
        <f t="shared" si="98"/>
        <v>5.6690334240004301</v>
      </c>
      <c r="BK413" s="36" t="s">
        <v>359</v>
      </c>
      <c r="BL413" s="22">
        <f t="shared" si="99"/>
        <v>5.6827023622954576</v>
      </c>
      <c r="BO413" s="36" t="s">
        <v>360</v>
      </c>
      <c r="BP413" s="22">
        <f t="shared" ref="BL413:BP415" si="100">EXP(-$B$200*1/32) * (BR412*$B$203 +BR414* $B$204)</f>
        <v>5.6964042585676475</v>
      </c>
    </row>
    <row r="414" spans="35:70" x14ac:dyDescent="0.2">
      <c r="BI414" s="36" t="s">
        <v>359</v>
      </c>
      <c r="BJ414" s="22">
        <f t="shared" si="99"/>
        <v>5.7663426337715249</v>
      </c>
      <c r="BM414" s="36" t="s">
        <v>360</v>
      </c>
      <c r="BN414" s="22">
        <f t="shared" si="100"/>
        <v>5.7802461999977037</v>
      </c>
      <c r="BQ414" s="36" t="s">
        <v>361</v>
      </c>
      <c r="BR414" s="22">
        <f>MAX($B$1 - BR270,0)</f>
        <v>5.7941832899261811</v>
      </c>
    </row>
    <row r="415" spans="35:70" x14ac:dyDescent="0.2">
      <c r="BK415" s="36" t="s">
        <v>360</v>
      </c>
      <c r="BL415" s="22">
        <f t="shared" si="100"/>
        <v>5.8608240862925287</v>
      </c>
      <c r="BO415" s="36" t="s">
        <v>361</v>
      </c>
      <c r="BP415" s="22">
        <f t="shared" ref="BN415:BP416" si="101">EXP(-$B$200*1/32) * (BR414*$B$203 +BR416* $B$204)</f>
        <v>5.8749554622788445</v>
      </c>
    </row>
    <row r="416" spans="35:70" x14ac:dyDescent="0.2">
      <c r="BM416" s="36" t="s">
        <v>361</v>
      </c>
      <c r="BN416" s="22">
        <f t="shared" si="101"/>
        <v>5.9525702314950921</v>
      </c>
      <c r="BQ416" s="36" t="s">
        <v>362</v>
      </c>
      <c r="BR416" s="22">
        <f>MAX($B$1 - BR272,0)</f>
        <v>5.9669228219819743</v>
      </c>
    </row>
    <row r="417" spans="67:70" x14ac:dyDescent="0.2">
      <c r="BO417" s="36" t="s">
        <v>362</v>
      </c>
      <c r="BP417" s="22">
        <f t="shared" ref="BP417" si="102">EXP(-$B$200*1/32) * (BR416*$B$203 +BR418* $B$204)</f>
        <v>6.0416705106465631</v>
      </c>
    </row>
    <row r="418" spans="67:70" x14ac:dyDescent="0.2">
      <c r="BQ418" s="36" t="s">
        <v>363</v>
      </c>
      <c r="BR418" s="22">
        <f>MAX($B$1 - BR274,0)</f>
        <v>6.1282114542797377</v>
      </c>
    </row>
    <row r="420" spans="67:70" x14ac:dyDescent="0.2">
      <c r="BQ420" s="35"/>
    </row>
    <row r="422" spans="67:70" x14ac:dyDescent="0.2">
      <c r="BQ422" s="35"/>
    </row>
  </sheetData>
  <mergeCells count="127">
    <mergeCell ref="A39:XFD39"/>
    <mergeCell ref="A58:XFD58"/>
    <mergeCell ref="A10:XFD10"/>
    <mergeCell ref="J21:Q22"/>
    <mergeCell ref="A24:XFD24"/>
    <mergeCell ref="O29:W30"/>
    <mergeCell ref="AA63:AB63"/>
    <mergeCell ref="AC63:AD63"/>
    <mergeCell ref="AE63:AF63"/>
    <mergeCell ref="AG63:AH63"/>
    <mergeCell ref="AI63:AJ63"/>
    <mergeCell ref="AK63:AL63"/>
    <mergeCell ref="AM63:AN63"/>
    <mergeCell ref="AO63:AP63"/>
    <mergeCell ref="AQ63:AR63"/>
    <mergeCell ref="AT63:AU63"/>
    <mergeCell ref="AV63:AW63"/>
    <mergeCell ref="AX63:AY63"/>
    <mergeCell ref="AZ63:BA63"/>
    <mergeCell ref="BB63:BC63"/>
    <mergeCell ref="BD63:BE63"/>
    <mergeCell ref="BF63:BG63"/>
    <mergeCell ref="BH63:BI63"/>
    <mergeCell ref="BJ63:BK63"/>
    <mergeCell ref="V125:W125"/>
    <mergeCell ref="X125:Y125"/>
    <mergeCell ref="F125:G125"/>
    <mergeCell ref="H125:I125"/>
    <mergeCell ref="J125:K125"/>
    <mergeCell ref="L125:M125"/>
    <mergeCell ref="N125:O125"/>
    <mergeCell ref="A198:XFD198"/>
    <mergeCell ref="A87:XFD87"/>
    <mergeCell ref="AJ125:AK125"/>
    <mergeCell ref="AL125:AM125"/>
    <mergeCell ref="F161:G161"/>
    <mergeCell ref="H161:I161"/>
    <mergeCell ref="J161:K161"/>
    <mergeCell ref="L161:M161"/>
    <mergeCell ref="N161:O161"/>
    <mergeCell ref="P161:Q161"/>
    <mergeCell ref="R161:S161"/>
    <mergeCell ref="T161:U161"/>
    <mergeCell ref="V161:W161"/>
    <mergeCell ref="X161:Y161"/>
    <mergeCell ref="Z161:AA161"/>
    <mergeCell ref="AB161:AC161"/>
    <mergeCell ref="AD161:AE161"/>
    <mergeCell ref="AF161:AG161"/>
    <mergeCell ref="Z125:AA125"/>
    <mergeCell ref="AB125:AC125"/>
    <mergeCell ref="AD125:AE125"/>
    <mergeCell ref="AF125:AG125"/>
    <mergeCell ref="AH125:AI125"/>
    <mergeCell ref="P125:Q125"/>
    <mergeCell ref="R125:S125"/>
    <mergeCell ref="T125:U125"/>
    <mergeCell ref="AH161:AI161"/>
    <mergeCell ref="AJ161:AK161"/>
    <mergeCell ref="AL161:AM16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Z281"/>
    <mergeCell ref="AA281:AB281"/>
    <mergeCell ref="AC281:AD281"/>
    <mergeCell ref="AE281:AF281"/>
    <mergeCell ref="AQ281:AR281"/>
    <mergeCell ref="AS281:AT281"/>
    <mergeCell ref="AU281:AV281"/>
    <mergeCell ref="AW281:AX281"/>
    <mergeCell ref="AY281:AZ281"/>
    <mergeCell ref="AG281:AH281"/>
    <mergeCell ref="AI281:AJ281"/>
    <mergeCell ref="AK281:AL281"/>
    <mergeCell ref="AM281:AN281"/>
    <mergeCell ref="AO281:AP281"/>
    <mergeCell ref="M352:N352"/>
    <mergeCell ref="O352:P352"/>
    <mergeCell ref="Q352:R352"/>
    <mergeCell ref="S352:T352"/>
    <mergeCell ref="U352:V352"/>
    <mergeCell ref="E281:F281"/>
    <mergeCell ref="E352:F352"/>
    <mergeCell ref="G352:H352"/>
    <mergeCell ref="I352:J352"/>
    <mergeCell ref="K352:L352"/>
    <mergeCell ref="AG352:AH352"/>
    <mergeCell ref="AI352:AJ352"/>
    <mergeCell ref="AK352:AL352"/>
    <mergeCell ref="AM352:AN352"/>
    <mergeCell ref="AO352:AP352"/>
    <mergeCell ref="W352:X352"/>
    <mergeCell ref="Y352:Z352"/>
    <mergeCell ref="AA352:AB352"/>
    <mergeCell ref="AC352:AD352"/>
    <mergeCell ref="AE352:AF352"/>
    <mergeCell ref="BK352:BL352"/>
    <mergeCell ref="BM352:BN352"/>
    <mergeCell ref="BO352:BP352"/>
    <mergeCell ref="BQ352:BR352"/>
    <mergeCell ref="AN41:AP41"/>
    <mergeCell ref="BA352:BB352"/>
    <mergeCell ref="BC352:BD352"/>
    <mergeCell ref="BE352:BF352"/>
    <mergeCell ref="BG352:BH352"/>
    <mergeCell ref="BI352:BJ352"/>
    <mergeCell ref="AQ352:AR352"/>
    <mergeCell ref="AS352:AT352"/>
    <mergeCell ref="AU352:AV352"/>
    <mergeCell ref="AW352:AX352"/>
    <mergeCell ref="AY352:AZ352"/>
    <mergeCell ref="BK281:BL281"/>
    <mergeCell ref="BM281:BN281"/>
    <mergeCell ref="BO281:BP281"/>
    <mergeCell ref="BQ281:BR281"/>
    <mergeCell ref="BA281:BB281"/>
    <mergeCell ref="BC281:BD281"/>
    <mergeCell ref="BE281:BF281"/>
    <mergeCell ref="BG281:BH281"/>
    <mergeCell ref="BI281:BJ28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Bruni Prenestino</dc:creator>
  <cp:lastModifiedBy>Francesco Bruni Prenestino</cp:lastModifiedBy>
  <dcterms:created xsi:type="dcterms:W3CDTF">2023-12-05T18:37:40Z</dcterms:created>
  <dcterms:modified xsi:type="dcterms:W3CDTF">2023-12-07T14:33:36Z</dcterms:modified>
</cp:coreProperties>
</file>